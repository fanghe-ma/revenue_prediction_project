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202300"/>
  <mc:AlternateContent xmlns:mc="http://schemas.openxmlformats.org/markup-compatibility/2006">
    <mc:Choice Requires="x15">
      <x15ac:absPath xmlns:x15ac="http://schemas.microsoft.com/office/spreadsheetml/2010/11/ac" url="\\Mac\Home\Desktop\Deep Ocean - BART\"/>
    </mc:Choice>
  </mc:AlternateContent>
  <xr:revisionPtr revIDLastSave="0" documentId="13_ncr:1_{505E79DC-4841-47CA-B78D-5944032FA97F}" xr6:coauthVersionLast="47" xr6:coauthVersionMax="47" xr10:uidLastSave="{00000000-0000-0000-0000-000000000000}"/>
  <bookViews>
    <workbookView xWindow="-98" yWindow="-98" windowWidth="11536" windowHeight="13065" firstSheet="1" activeTab="1" xr2:uid="{C3AA02A4-993D-45EB-AA08-8FF459ECC57B}"/>
  </bookViews>
  <sheets>
    <sheet name="model_log_1227" sheetId="1" r:id="rId1"/>
    <sheet name="Forward Revenue Calculations" sheetId="2" r:id="rId2"/>
  </sheets>
  <definedNames>
    <definedName name="_xlnm._FilterDatabase" localSheetId="0" hidden="1">model_log_1227!$A$1:$H$2281</definedName>
    <definedName name="_xleta.COUNT" hidden="1" xlm="1">#NAME?</definedName>
    <definedName name="_xleta.LEN" hidden="1" xlm="1">#NAME?</definedName>
    <definedName name="_xleta.N" hidden="1" xlm="1">#NAME?</definedName>
    <definedName name="_xleta.NA" hidden="1" xlm="1">#NAME?</definedName>
    <definedName name="_xleta.SUM" hidden="1" xlm="1">#NAME?</definedName>
    <definedName name="Actual_Revenue">model_log_1227!$D$2:$D$2281</definedName>
    <definedName name="Period">model_log_1227!$H$2:$H$2281</definedName>
    <definedName name="Predicted_Revenue">model_log_1227!$C$2:$C$2281</definedName>
    <definedName name="Prediction_date">model_log_1227!$G$2:$G$2281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 a="1"/>
  <c r="A3" i="2" s="1"/>
  <c r="B5" i="2" l="1"/>
  <c r="E5" i="2" s="1" a="1"/>
  <c r="E5" i="2" s="1"/>
  <c r="C6" i="2"/>
  <c r="H6" i="2" s="1" a="1"/>
  <c r="H6" i="2" s="1"/>
  <c r="D7" i="2"/>
  <c r="I7" i="2" s="1" a="1"/>
  <c r="I7" i="2" s="1"/>
  <c r="B4" i="2"/>
  <c r="E4" i="2" s="1" a="1"/>
  <c r="E4" i="2" s="1"/>
  <c r="C5" i="2"/>
  <c r="H5" i="2" s="1" a="1"/>
  <c r="H5" i="2" s="1"/>
  <c r="D6" i="2"/>
  <c r="I6" i="2" s="1" a="1"/>
  <c r="I6" i="2" s="1"/>
  <c r="B8" i="2"/>
  <c r="F8" i="2" s="1" a="1"/>
  <c r="F8" i="2" s="1"/>
  <c r="C9" i="2"/>
  <c r="G9" i="2" s="1" a="1"/>
  <c r="G9" i="2" s="1"/>
  <c r="D10" i="2"/>
  <c r="J10" i="2" s="1" a="1"/>
  <c r="J10" i="2" s="1"/>
  <c r="B12" i="2"/>
  <c r="E12" i="2" s="1" a="1"/>
  <c r="E12" i="2" s="1"/>
  <c r="C13" i="2"/>
  <c r="H13" i="2" s="1" a="1"/>
  <c r="H13" i="2" s="1"/>
  <c r="D14" i="2"/>
  <c r="I14" i="2" s="1" a="1"/>
  <c r="I14" i="2" s="1"/>
  <c r="B16" i="2"/>
  <c r="E16" i="2" s="1" a="1"/>
  <c r="E16" i="2" s="1"/>
  <c r="B40" i="2"/>
  <c r="E40" i="2" s="1" a="1"/>
  <c r="E40" i="2" s="1"/>
  <c r="C33" i="2"/>
  <c r="H33" i="2" s="1" a="1"/>
  <c r="H33" i="2" s="1"/>
  <c r="B28" i="2"/>
  <c r="F28" i="2" s="1" a="1"/>
  <c r="F28" i="2" s="1"/>
  <c r="B24" i="2"/>
  <c r="E24" i="2" s="1" a="1"/>
  <c r="E24" i="2" s="1"/>
  <c r="C17" i="2"/>
  <c r="H17" i="2" s="1" a="1"/>
  <c r="H17" i="2" s="1"/>
  <c r="C12" i="2"/>
  <c r="H12" i="2" s="1" a="1"/>
  <c r="H12" i="2" s="1"/>
  <c r="D40" i="2"/>
  <c r="I40" i="2" s="1" a="1"/>
  <c r="I40" i="2" s="1"/>
  <c r="C39" i="2"/>
  <c r="G39" i="2" s="1" a="1"/>
  <c r="G39" i="2" s="1"/>
  <c r="B38" i="2"/>
  <c r="E38" i="2" s="1" a="1"/>
  <c r="E38" i="2" s="1"/>
  <c r="D36" i="2"/>
  <c r="I36" i="2" s="1" a="1"/>
  <c r="I36" i="2" s="1"/>
  <c r="C35" i="2"/>
  <c r="G35" i="2" s="1" a="1"/>
  <c r="G35" i="2" s="1"/>
  <c r="B34" i="2"/>
  <c r="E34" i="2" s="1" a="1"/>
  <c r="E34" i="2" s="1"/>
  <c r="D32" i="2"/>
  <c r="I32" i="2" s="1" a="1"/>
  <c r="I32" i="2" s="1"/>
  <c r="C31" i="2"/>
  <c r="H31" i="2" s="1" a="1"/>
  <c r="H31" i="2" s="1"/>
  <c r="B30" i="2"/>
  <c r="E30" i="2" s="1" a="1"/>
  <c r="E30" i="2" s="1"/>
  <c r="D28" i="2"/>
  <c r="I28" i="2" s="1" a="1"/>
  <c r="I28" i="2" s="1"/>
  <c r="C27" i="2"/>
  <c r="G27" i="2" s="1" a="1"/>
  <c r="G27" i="2" s="1"/>
  <c r="B26" i="2"/>
  <c r="E26" i="2" s="1" a="1"/>
  <c r="E26" i="2" s="1"/>
  <c r="D24" i="2"/>
  <c r="I24" i="2" s="1" a="1"/>
  <c r="I24" i="2" s="1"/>
  <c r="C23" i="2"/>
  <c r="G23" i="2" s="1" a="1"/>
  <c r="G23" i="2" s="1"/>
  <c r="B22" i="2"/>
  <c r="E22" i="2" s="1" a="1"/>
  <c r="E22" i="2" s="1"/>
  <c r="D20" i="2"/>
  <c r="J20" i="2" s="1" a="1"/>
  <c r="J20" i="2" s="1"/>
  <c r="C19" i="2"/>
  <c r="G19" i="2" s="1" a="1"/>
  <c r="G19" i="2" s="1"/>
  <c r="B18" i="2"/>
  <c r="E18" i="2" s="1" a="1"/>
  <c r="E18" i="2" s="1"/>
  <c r="D16" i="2"/>
  <c r="I16" i="2" s="1" a="1"/>
  <c r="I16" i="2" s="1"/>
  <c r="B15" i="2"/>
  <c r="F15" i="2" s="1" a="1"/>
  <c r="F15" i="2" s="1"/>
  <c r="B13" i="2"/>
  <c r="E13" i="2" s="1" a="1"/>
  <c r="E13" i="2" s="1"/>
  <c r="C11" i="2"/>
  <c r="G11" i="2" s="1" a="1"/>
  <c r="G11" i="2" s="1"/>
  <c r="D9" i="2"/>
  <c r="J9" i="2" s="1" a="1"/>
  <c r="J9" i="2" s="1"/>
  <c r="C7" i="2"/>
  <c r="G7" i="2" s="1" a="1"/>
  <c r="G7" i="2" s="1"/>
  <c r="D4" i="2"/>
  <c r="I4" i="2" s="1" a="1"/>
  <c r="I4" i="2" s="1"/>
  <c r="J36" i="2" a="1"/>
  <c r="J36" i="2" s="1"/>
  <c r="J16" i="2" a="1"/>
  <c r="J16" i="2" s="1"/>
  <c r="G6" i="2" a="1"/>
  <c r="G6" i="2" s="1"/>
  <c r="C41" i="2"/>
  <c r="G41" i="2" s="1" a="1"/>
  <c r="G41" i="2" s="1"/>
  <c r="C37" i="2"/>
  <c r="G37" i="2" s="1" a="1"/>
  <c r="G37" i="2" s="1"/>
  <c r="D34" i="2"/>
  <c r="I34" i="2" s="1" a="1"/>
  <c r="I34" i="2" s="1"/>
  <c r="D30" i="2"/>
  <c r="I30" i="2" s="1" a="1"/>
  <c r="I30" i="2" s="1"/>
  <c r="D26" i="2"/>
  <c r="I26" i="2" s="1" a="1"/>
  <c r="I26" i="2" s="1"/>
  <c r="D22" i="2"/>
  <c r="J22" i="2" s="1" a="1"/>
  <c r="J22" i="2" s="1"/>
  <c r="D18" i="2"/>
  <c r="I18" i="2" s="1" a="1"/>
  <c r="I18" i="2" s="1"/>
  <c r="B14" i="2"/>
  <c r="E14" i="2" s="1" a="1"/>
  <c r="E14" i="2" s="1"/>
  <c r="D8" i="2"/>
  <c r="I8" i="2" s="1" a="1"/>
  <c r="I8" i="2" s="1"/>
  <c r="B42" i="2"/>
  <c r="E42" i="2" s="1" a="1"/>
  <c r="E42" i="2" s="1"/>
  <c r="D41" i="2"/>
  <c r="J41" i="2" s="1" a="1"/>
  <c r="J41" i="2" s="1"/>
  <c r="C40" i="2"/>
  <c r="G40" i="2" s="1" a="1"/>
  <c r="G40" i="2" s="1"/>
  <c r="B39" i="2"/>
  <c r="F39" i="2" s="1" a="1"/>
  <c r="F39" i="2" s="1"/>
  <c r="D37" i="2"/>
  <c r="I37" i="2" s="1" a="1"/>
  <c r="I37" i="2" s="1"/>
  <c r="C36" i="2"/>
  <c r="H36" i="2" s="1" a="1"/>
  <c r="H36" i="2" s="1"/>
  <c r="B35" i="2"/>
  <c r="E35" i="2" s="1" a="1"/>
  <c r="E35" i="2" s="1"/>
  <c r="D33" i="2"/>
  <c r="J33" i="2" s="1" a="1"/>
  <c r="J33" i="2" s="1"/>
  <c r="C32" i="2"/>
  <c r="H32" i="2" s="1" a="1"/>
  <c r="H32" i="2" s="1"/>
  <c r="B31" i="2"/>
  <c r="F31" i="2" s="1" a="1"/>
  <c r="F31" i="2" s="1"/>
  <c r="D29" i="2"/>
  <c r="J29" i="2" s="1" a="1"/>
  <c r="J29" i="2" s="1"/>
  <c r="C28" i="2"/>
  <c r="G28" i="2" s="1" a="1"/>
  <c r="G28" i="2" s="1"/>
  <c r="B27" i="2"/>
  <c r="F27" i="2" s="1" a="1"/>
  <c r="F27" i="2" s="1"/>
  <c r="D25" i="2"/>
  <c r="J25" i="2" s="1" a="1"/>
  <c r="J25" i="2" s="1"/>
  <c r="C24" i="2"/>
  <c r="H24" i="2" s="1" a="1"/>
  <c r="H24" i="2" s="1"/>
  <c r="B23" i="2"/>
  <c r="E23" i="2" s="1" a="1"/>
  <c r="E23" i="2" s="1"/>
  <c r="D21" i="2"/>
  <c r="J21" i="2" s="1" a="1"/>
  <c r="J21" i="2" s="1"/>
  <c r="C20" i="2"/>
  <c r="H20" i="2" s="1" a="1"/>
  <c r="H20" i="2" s="1"/>
  <c r="B19" i="2"/>
  <c r="F19" i="2" s="1" a="1"/>
  <c r="F19" i="2" s="1"/>
  <c r="D17" i="2"/>
  <c r="I17" i="2" s="1" a="1"/>
  <c r="I17" i="2" s="1"/>
  <c r="C16" i="2"/>
  <c r="H16" i="2" s="1" a="1"/>
  <c r="H16" i="2" s="1"/>
  <c r="C14" i="2"/>
  <c r="H14" i="2" s="1" a="1"/>
  <c r="H14" i="2" s="1"/>
  <c r="D12" i="2"/>
  <c r="I12" i="2" s="1" a="1"/>
  <c r="I12" i="2" s="1"/>
  <c r="B11" i="2"/>
  <c r="F11" i="2" s="1" a="1"/>
  <c r="F11" i="2" s="1"/>
  <c r="B9" i="2"/>
  <c r="F9" i="2" s="1" a="1"/>
  <c r="F9" i="2" s="1"/>
  <c r="B7" i="2"/>
  <c r="F7" i="2" s="1" a="1"/>
  <c r="F7" i="2" s="1"/>
  <c r="C4" i="2"/>
  <c r="G4" i="2" s="1" a="1"/>
  <c r="G4" i="2" s="1"/>
  <c r="I33" i="2" a="1"/>
  <c r="I33" i="2" s="1"/>
  <c r="F24" i="2" a="1"/>
  <c r="F24" i="2" s="1"/>
  <c r="F22" i="2" a="1"/>
  <c r="F22" i="2" s="1"/>
  <c r="G16" i="2" a="1"/>
  <c r="G16" i="2" s="1"/>
  <c r="G14" i="2" a="1"/>
  <c r="G14" i="2" s="1"/>
  <c r="G12" i="2" a="1"/>
  <c r="G12" i="2" s="1"/>
  <c r="E8" i="2" a="1"/>
  <c r="E8" i="2" s="1"/>
  <c r="I9" i="2" a="1"/>
  <c r="I9" i="2" s="1"/>
  <c r="H7" i="2" a="1"/>
  <c r="H7" i="2" s="1"/>
  <c r="G5" i="2" a="1"/>
  <c r="G5" i="2" s="1"/>
  <c r="D42" i="2"/>
  <c r="I42" i="2" s="1" a="1"/>
  <c r="I42" i="2" s="1"/>
  <c r="D38" i="2"/>
  <c r="I38" i="2" s="1" a="1"/>
  <c r="I38" i="2" s="1"/>
  <c r="B36" i="2"/>
  <c r="E36" i="2" s="1" a="1"/>
  <c r="E36" i="2" s="1"/>
  <c r="B32" i="2"/>
  <c r="E32" i="2" s="1" a="1"/>
  <c r="E32" i="2" s="1"/>
  <c r="C29" i="2"/>
  <c r="G29" i="2" s="1" a="1"/>
  <c r="G29" i="2" s="1"/>
  <c r="C25" i="2"/>
  <c r="G25" i="2" s="1" a="1"/>
  <c r="G25" i="2" s="1"/>
  <c r="C21" i="2"/>
  <c r="G21" i="2" s="1" a="1"/>
  <c r="G21" i="2" s="1"/>
  <c r="B20" i="2"/>
  <c r="E20" i="2" s="1" a="1"/>
  <c r="E20" i="2" s="1"/>
  <c r="D15" i="2"/>
  <c r="I15" i="2" s="1" a="1"/>
  <c r="I15" i="2" s="1"/>
  <c r="C10" i="2"/>
  <c r="G10" i="2" s="1" a="1"/>
  <c r="G10" i="2" s="1"/>
  <c r="B6" i="2"/>
  <c r="E6" i="2" s="1" a="1"/>
  <c r="E6" i="2" s="1"/>
  <c r="F38" i="2" a="1"/>
  <c r="F38" i="2" s="1"/>
  <c r="G31" i="2" a="1"/>
  <c r="G31" i="2" s="1"/>
  <c r="H27" i="2" a="1"/>
  <c r="H27" i="2" s="1"/>
  <c r="J17" i="2" a="1"/>
  <c r="J17" i="2" s="1"/>
  <c r="C42" i="2"/>
  <c r="G42" i="2" s="1" a="1"/>
  <c r="G42" i="2" s="1"/>
  <c r="B41" i="2"/>
  <c r="E41" i="2" s="1" a="1"/>
  <c r="E41" i="2" s="1"/>
  <c r="D39" i="2"/>
  <c r="I39" i="2" s="1" a="1"/>
  <c r="I39" i="2" s="1"/>
  <c r="C38" i="2"/>
  <c r="G38" i="2" s="1" a="1"/>
  <c r="G38" i="2" s="1"/>
  <c r="B37" i="2"/>
  <c r="E37" i="2" s="1" a="1"/>
  <c r="E37" i="2" s="1"/>
  <c r="D35" i="2"/>
  <c r="I35" i="2" s="1" a="1"/>
  <c r="I35" i="2" s="1"/>
  <c r="C34" i="2"/>
  <c r="G34" i="2" s="1" a="1"/>
  <c r="G34" i="2" s="1"/>
  <c r="B33" i="2"/>
  <c r="F33" i="2" s="1" a="1"/>
  <c r="F33" i="2" s="1"/>
  <c r="D31" i="2"/>
  <c r="I31" i="2" s="1" a="1"/>
  <c r="I31" i="2" s="1"/>
  <c r="C30" i="2"/>
  <c r="H30" i="2" s="1" a="1"/>
  <c r="H30" i="2" s="1"/>
  <c r="B29" i="2"/>
  <c r="F29" i="2" s="1" a="1"/>
  <c r="F29" i="2" s="1"/>
  <c r="D27" i="2"/>
  <c r="J27" i="2" s="1" a="1"/>
  <c r="J27" i="2" s="1"/>
  <c r="C26" i="2"/>
  <c r="H26" i="2" s="1" a="1"/>
  <c r="H26" i="2" s="1"/>
  <c r="B25" i="2"/>
  <c r="F25" i="2" s="1" a="1"/>
  <c r="F25" i="2" s="1"/>
  <c r="D23" i="2"/>
  <c r="J23" i="2" s="1" a="1"/>
  <c r="J23" i="2" s="1"/>
  <c r="C22" i="2"/>
  <c r="H22" i="2" s="1" a="1"/>
  <c r="H22" i="2" s="1"/>
  <c r="B21" i="2"/>
  <c r="E21" i="2" s="1" a="1"/>
  <c r="E21" i="2" s="1"/>
  <c r="D19" i="2"/>
  <c r="J19" i="2" s="1" a="1"/>
  <c r="J19" i="2" s="1"/>
  <c r="C18" i="2"/>
  <c r="H18" i="2" s="1" a="1"/>
  <c r="H18" i="2" s="1"/>
  <c r="B17" i="2"/>
  <c r="F17" i="2" s="1" a="1"/>
  <c r="F17" i="2" s="1"/>
  <c r="C15" i="2"/>
  <c r="H15" i="2" s="1" a="1"/>
  <c r="H15" i="2" s="1"/>
  <c r="D13" i="2"/>
  <c r="J13" i="2" s="1" a="1"/>
  <c r="J13" i="2" s="1"/>
  <c r="D11" i="2"/>
  <c r="J11" i="2" s="1" a="1"/>
  <c r="J11" i="2" s="1"/>
  <c r="B10" i="2"/>
  <c r="E10" i="2" s="1" a="1"/>
  <c r="E10" i="2" s="1"/>
  <c r="C8" i="2"/>
  <c r="H8" i="2" s="1" a="1"/>
  <c r="H8" i="2" s="1"/>
  <c r="D5" i="2"/>
  <c r="J5" i="2" s="1" a="1"/>
  <c r="J5" i="2" s="1"/>
  <c r="F40" i="2" a="1"/>
  <c r="F40" i="2" s="1"/>
  <c r="H37" i="2" a="1"/>
  <c r="H37" i="2" s="1"/>
  <c r="J34" i="2" a="1"/>
  <c r="J34" i="2" s="1"/>
  <c r="J32" i="2" a="1"/>
  <c r="J32" i="2" s="1"/>
  <c r="E27" i="2" a="1"/>
  <c r="E27" i="2" s="1"/>
  <c r="F23" i="2" a="1"/>
  <c r="F23" i="2" s="1"/>
  <c r="G17" i="2" a="1"/>
  <c r="G17" i="2" s="1"/>
  <c r="G13" i="2" a="1"/>
  <c r="G13" i="2" s="1"/>
  <c r="E9" i="2" a="1"/>
  <c r="E9" i="2" s="1"/>
  <c r="E7" i="2" a="1"/>
  <c r="E7" i="2" s="1"/>
  <c r="J4" i="2" a="1"/>
  <c r="J4" i="2" s="1"/>
  <c r="G15" i="2" l="1" a="1"/>
  <c r="G15" i="2" s="1"/>
  <c r="J15" i="2" a="1"/>
  <c r="J15" i="2" s="1"/>
  <c r="J42" i="2" a="1"/>
  <c r="J42" i="2" s="1"/>
  <c r="E28" i="2" a="1"/>
  <c r="E28" i="2" s="1"/>
  <c r="F21" i="2" a="1"/>
  <c r="F21" i="2" s="1"/>
  <c r="J40" i="2" a="1"/>
  <c r="J40" i="2" s="1"/>
  <c r="H28" i="2" a="1"/>
  <c r="H28" i="2" s="1"/>
  <c r="J38" i="2" a="1"/>
  <c r="J38" i="2" s="1"/>
  <c r="J18" i="2" a="1"/>
  <c r="J18" i="2" s="1"/>
  <c r="H35" i="2" a="1"/>
  <c r="H35" i="2" s="1"/>
  <c r="I19" i="2" a="1"/>
  <c r="I19" i="2" s="1"/>
  <c r="E25" i="2" a="1"/>
  <c r="E25" i="2" s="1"/>
  <c r="I21" i="2" a="1"/>
  <c r="I21" i="2" s="1"/>
  <c r="F10" i="2" a="1"/>
  <c r="F10" i="2" s="1"/>
  <c r="J31" i="2" a="1"/>
  <c r="J31" i="2" s="1"/>
  <c r="H41" i="2" a="1"/>
  <c r="H41" i="2" s="1"/>
  <c r="H29" i="2" a="1"/>
  <c r="H29" i="2" s="1"/>
  <c r="I10" i="2" a="1"/>
  <c r="I10" i="2" s="1"/>
  <c r="I20" i="2" a="1"/>
  <c r="I20" i="2" s="1"/>
  <c r="G30" i="2" a="1"/>
  <c r="G30" i="2" s="1"/>
  <c r="H39" i="2" a="1"/>
  <c r="H39" i="2" s="1"/>
  <c r="F13" i="2" a="1"/>
  <c r="F13" i="2" s="1"/>
  <c r="H10" i="2" a="1"/>
  <c r="H10" i="2" s="1"/>
  <c r="J7" i="2" a="1"/>
  <c r="J7" i="2" s="1"/>
  <c r="F5" i="2" a="1"/>
  <c r="F5" i="2" s="1"/>
  <c r="F41" i="2" a="1"/>
  <c r="F41" i="2" s="1"/>
  <c r="H38" i="2" a="1"/>
  <c r="H38" i="2" s="1"/>
  <c r="J35" i="2" a="1"/>
  <c r="J35" i="2" s="1"/>
  <c r="E33" i="2" a="1"/>
  <c r="E33" i="2" s="1"/>
  <c r="F30" i="2" a="1"/>
  <c r="F30" i="2" s="1"/>
  <c r="I27" i="2" a="1"/>
  <c r="I27" i="2" s="1"/>
  <c r="J24" i="2" a="1"/>
  <c r="J24" i="2" s="1"/>
  <c r="G22" i="2" a="1"/>
  <c r="G22" i="2" s="1"/>
  <c r="H19" i="2" a="1"/>
  <c r="H19" i="2" s="1"/>
  <c r="E17" i="2" a="1"/>
  <c r="E17" i="2" s="1"/>
  <c r="F14" i="2" a="1"/>
  <c r="F14" i="2" s="1"/>
  <c r="H11" i="2" a="1"/>
  <c r="H11" i="2" s="1"/>
  <c r="J8" i="2" a="1"/>
  <c r="J8" i="2" s="1"/>
  <c r="F6" i="2" a="1"/>
  <c r="F6" i="2" s="1"/>
  <c r="I41" i="2" a="1"/>
  <c r="I41" i="2" s="1"/>
  <c r="E39" i="2" a="1"/>
  <c r="E39" i="2" s="1"/>
  <c r="G36" i="2" a="1"/>
  <c r="G36" i="2" s="1"/>
  <c r="E29" i="2" a="1"/>
  <c r="E29" i="2" s="1"/>
  <c r="F26" i="2" a="1"/>
  <c r="F26" i="2" s="1"/>
  <c r="I23" i="2" a="1"/>
  <c r="I23" i="2" s="1"/>
  <c r="G18" i="2" a="1"/>
  <c r="G18" i="2" s="1"/>
  <c r="J12" i="2" a="1"/>
  <c r="J12" i="2" s="1"/>
  <c r="I22" i="2" a="1"/>
  <c r="I22" i="2" s="1"/>
  <c r="G32" i="2" a="1"/>
  <c r="G32" i="2" s="1"/>
  <c r="F42" i="2" a="1"/>
  <c r="F42" i="2" s="1"/>
  <c r="J28" i="2" a="1"/>
  <c r="J28" i="2" s="1"/>
  <c r="G26" i="2" a="1"/>
  <c r="G26" i="2" s="1"/>
  <c r="H23" i="2" a="1"/>
  <c r="H23" i="2" s="1"/>
  <c r="F18" i="2" a="1"/>
  <c r="F18" i="2" s="1"/>
  <c r="H40" i="2" a="1"/>
  <c r="H40" i="2" s="1"/>
  <c r="J37" i="2" a="1"/>
  <c r="J37" i="2" s="1"/>
  <c r="F35" i="2" a="1"/>
  <c r="F35" i="2" s="1"/>
  <c r="F32" i="2" a="1"/>
  <c r="F32" i="2" s="1"/>
  <c r="I29" i="2" a="1"/>
  <c r="I29" i="2" s="1"/>
  <c r="J26" i="2" a="1"/>
  <c r="J26" i="2" s="1"/>
  <c r="G24" i="2" a="1"/>
  <c r="G24" i="2" s="1"/>
  <c r="H21" i="2" a="1"/>
  <c r="H21" i="2" s="1"/>
  <c r="E19" i="2" a="1"/>
  <c r="E19" i="2" s="1"/>
  <c r="F16" i="2" a="1"/>
  <c r="F16" i="2" s="1"/>
  <c r="I13" i="2" a="1"/>
  <c r="I13" i="2" s="1"/>
  <c r="E11" i="2" a="1"/>
  <c r="E11" i="2" s="1"/>
  <c r="G8" i="2" a="1"/>
  <c r="G8" i="2" s="1"/>
  <c r="I5" i="2" a="1"/>
  <c r="I5" i="2" s="1"/>
  <c r="G33" i="2" a="1"/>
  <c r="G33" i="2" s="1"/>
  <c r="E31" i="2" a="1"/>
  <c r="E31" i="2" s="1"/>
  <c r="I25" i="2" a="1"/>
  <c r="I25" i="2" s="1"/>
  <c r="G20" i="2" a="1"/>
  <c r="G20" i="2" s="1"/>
  <c r="E15" i="2" a="1"/>
  <c r="E15" i="2" s="1"/>
  <c r="H4" i="2" a="1"/>
  <c r="H4" i="2" s="1"/>
  <c r="I11" i="2" a="1"/>
  <c r="I11" i="2" s="1"/>
  <c r="F36" i="2" a="1"/>
  <c r="F36" i="2" s="1"/>
  <c r="F34" i="2" a="1"/>
  <c r="F34" i="2" s="1"/>
  <c r="J30" i="2" a="1"/>
  <c r="J30" i="2" s="1"/>
  <c r="H25" i="2" a="1"/>
  <c r="H25" i="2" s="1"/>
  <c r="F20" i="2" a="1"/>
  <c r="F20" i="2" s="1"/>
  <c r="J14" i="2" a="1"/>
  <c r="J14" i="2" s="1"/>
  <c r="F12" i="2" a="1"/>
  <c r="F12" i="2" s="1"/>
  <c r="H9" i="2" a="1"/>
  <c r="H9" i="2" s="1"/>
  <c r="J6" i="2" a="1"/>
  <c r="J6" i="2" s="1"/>
  <c r="F4" i="2" a="1"/>
  <c r="F4" i="2" s="1"/>
  <c r="H42" i="2" a="1"/>
  <c r="H42" i="2" s="1"/>
  <c r="J39" i="2" a="1"/>
  <c r="J39" i="2" s="1"/>
  <c r="F37" i="2" a="1"/>
  <c r="F37" i="2" s="1"/>
  <c r="H34" i="2" a="1"/>
  <c r="H34" i="2" s="1"/>
  <c r="B3" i="2"/>
  <c r="F3" i="2" s="1" a="1"/>
  <c r="F3" i="2" s="1"/>
  <c r="D3" i="2"/>
  <c r="I3" i="2" s="1" a="1"/>
  <c r="I3" i="2" s="1"/>
  <c r="C3" i="2"/>
  <c r="G3" i="2" s="1" a="1"/>
  <c r="G3" i="2" s="1"/>
  <c r="J3" i="2" l="1" a="1"/>
  <c r="J3" i="2" s="1"/>
  <c r="H3" i="2" a="1"/>
  <c r="H3" i="2" s="1"/>
  <c r="E3" i="2" a="1"/>
  <c r="E3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<sst xmlns="http://schemas.openxmlformats.org/spreadsheetml/2006/main" count="2300" uniqueCount="18">
  <si>
    <t>Dataset</t>
  </si>
  <si>
    <t>Predicted Revenue</t>
  </si>
  <si>
    <t>Actual Revenue</t>
  </si>
  <si>
    <t>hdi_lower</t>
  </si>
  <si>
    <t>hdi_upper</t>
  </si>
  <si>
    <t>cutoff</t>
  </si>
  <si>
    <t>period</t>
  </si>
  <si>
    <t>Train</t>
  </si>
  <si>
    <t>Test</t>
  </si>
  <si>
    <t>Time of prediction</t>
  </si>
  <si>
    <t>3 month period</t>
  </si>
  <si>
    <t>6 month period</t>
  </si>
  <si>
    <t>12 month period</t>
  </si>
  <si>
    <t>3 month</t>
  </si>
  <si>
    <t>Actual</t>
  </si>
  <si>
    <t>6 month</t>
  </si>
  <si>
    <t>12 month</t>
  </si>
  <si>
    <t>Predicted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</si>
</sst>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22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910732120246922E-2"/>
          <c:y val="2.5891582768764312E-2"/>
          <c:w val="0.75503788689757922"/>
          <c:h val="0.91166240474904636"/>
        </c:manualLayout>
      </c:layout>
      <c:lineChart>
        <c:grouping val="standard"/>
        <c:varyColors val="0"/>
        <c:ser>
          <c:idx val="0"/>
          <c:order val="0"/>
          <c:tx>
            <c:v>3 Month Actual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'Forward Revenue Calculations'!$A$3:$A$42</c:f>
              <c:numCache>
                <c:formatCode>m/d/yyyy</c:formatCode>
                <c:ptCount val="40"/>
                <c:pt idx="0">
                  <c:v>44377</c:v>
                </c:pt>
                <c:pt idx="1">
                  <c:v>44408</c:v>
                </c:pt>
                <c:pt idx="2">
                  <c:v>44439</c:v>
                </c:pt>
                <c:pt idx="3">
                  <c:v>44469</c:v>
                </c:pt>
                <c:pt idx="4">
                  <c:v>44500</c:v>
                </c:pt>
                <c:pt idx="5">
                  <c:v>44530</c:v>
                </c:pt>
                <c:pt idx="6">
                  <c:v>44561</c:v>
                </c:pt>
                <c:pt idx="7">
                  <c:v>44592</c:v>
                </c:pt>
                <c:pt idx="8">
                  <c:v>44620</c:v>
                </c:pt>
                <c:pt idx="9">
                  <c:v>44651</c:v>
                </c:pt>
                <c:pt idx="10">
                  <c:v>44681</c:v>
                </c:pt>
                <c:pt idx="11">
                  <c:v>44712</c:v>
                </c:pt>
                <c:pt idx="12">
                  <c:v>44742</c:v>
                </c:pt>
                <c:pt idx="13">
                  <c:v>44773</c:v>
                </c:pt>
                <c:pt idx="14">
                  <c:v>44804</c:v>
                </c:pt>
                <c:pt idx="15">
                  <c:v>44834</c:v>
                </c:pt>
                <c:pt idx="16">
                  <c:v>44865</c:v>
                </c:pt>
                <c:pt idx="17">
                  <c:v>44895</c:v>
                </c:pt>
                <c:pt idx="18">
                  <c:v>44926</c:v>
                </c:pt>
                <c:pt idx="19">
                  <c:v>44957</c:v>
                </c:pt>
                <c:pt idx="20">
                  <c:v>44985</c:v>
                </c:pt>
                <c:pt idx="21">
                  <c:v>45016</c:v>
                </c:pt>
                <c:pt idx="22">
                  <c:v>45046</c:v>
                </c:pt>
                <c:pt idx="23">
                  <c:v>45077</c:v>
                </c:pt>
                <c:pt idx="24">
                  <c:v>45107</c:v>
                </c:pt>
                <c:pt idx="25">
                  <c:v>45138</c:v>
                </c:pt>
                <c:pt idx="26">
                  <c:v>45169</c:v>
                </c:pt>
                <c:pt idx="27">
                  <c:v>45199</c:v>
                </c:pt>
                <c:pt idx="28">
                  <c:v>45230</c:v>
                </c:pt>
                <c:pt idx="29">
                  <c:v>45260</c:v>
                </c:pt>
                <c:pt idx="30">
                  <c:v>45291</c:v>
                </c:pt>
                <c:pt idx="31">
                  <c:v>45322</c:v>
                </c:pt>
                <c:pt idx="32">
                  <c:v>45351</c:v>
                </c:pt>
                <c:pt idx="33">
                  <c:v>45382</c:v>
                </c:pt>
                <c:pt idx="34">
                  <c:v>45412</c:v>
                </c:pt>
                <c:pt idx="35">
                  <c:v>45443</c:v>
                </c:pt>
                <c:pt idx="36">
                  <c:v>45473</c:v>
                </c:pt>
                <c:pt idx="37">
                  <c:v>45504</c:v>
                </c:pt>
                <c:pt idx="38">
                  <c:v>45535</c:v>
                </c:pt>
                <c:pt idx="39">
                  <c:v>45565</c:v>
                </c:pt>
              </c:numCache>
            </c:numRef>
          </c:cat>
          <c:val>
            <c:numRef>
              <c:f>'Forward Revenue Calculations'!$F$3:$F$42</c:f>
              <c:numCache>
                <c:formatCode>"$"#,##0.00</c:formatCode>
                <c:ptCount val="40"/>
                <c:pt idx="0">
                  <c:v>1954485.42</c:v>
                </c:pt>
                <c:pt idx="1">
                  <c:v>2446554.44</c:v>
                </c:pt>
                <c:pt idx="2">
                  <c:v>4827939.4800000004</c:v>
                </c:pt>
                <c:pt idx="3">
                  <c:v>3416524.8000000003</c:v>
                </c:pt>
                <c:pt idx="4">
                  <c:v>4078481.74</c:v>
                </c:pt>
                <c:pt idx="5">
                  <c:v>4002546.3199999901</c:v>
                </c:pt>
                <c:pt idx="6">
                  <c:v>4626699.5299999993</c:v>
                </c:pt>
                <c:pt idx="7">
                  <c:v>3570660.7899999991</c:v>
                </c:pt>
                <c:pt idx="8">
                  <c:v>3310414.3199999994</c:v>
                </c:pt>
                <c:pt idx="9">
                  <c:v>1900586.679999999</c:v>
                </c:pt>
                <c:pt idx="10">
                  <c:v>2842701.9699999988</c:v>
                </c:pt>
                <c:pt idx="11">
                  <c:v>3425779.1999999997</c:v>
                </c:pt>
                <c:pt idx="12">
                  <c:v>3006236.9999999991</c:v>
                </c:pt>
                <c:pt idx="13">
                  <c:v>3051239.939999999</c:v>
                </c:pt>
                <c:pt idx="14">
                  <c:v>3627368.4699999997</c:v>
                </c:pt>
                <c:pt idx="15">
                  <c:v>3113779.46</c:v>
                </c:pt>
                <c:pt idx="16">
                  <c:v>3246129.16</c:v>
                </c:pt>
                <c:pt idx="17">
                  <c:v>2843284.6199999996</c:v>
                </c:pt>
                <c:pt idx="18">
                  <c:v>2639251.61</c:v>
                </c:pt>
                <c:pt idx="19">
                  <c:v>2559958.2199999997</c:v>
                </c:pt>
                <c:pt idx="20">
                  <c:v>2717763.04</c:v>
                </c:pt>
                <c:pt idx="21">
                  <c:v>3119215.37</c:v>
                </c:pt>
                <c:pt idx="22">
                  <c:v>3115231.2199999904</c:v>
                </c:pt>
                <c:pt idx="23">
                  <c:v>3051653.62</c:v>
                </c:pt>
                <c:pt idx="24">
                  <c:v>3280430.37</c:v>
                </c:pt>
                <c:pt idx="25">
                  <c:v>3357077.5300000003</c:v>
                </c:pt>
                <c:pt idx="26">
                  <c:v>4175269.0700000003</c:v>
                </c:pt>
                <c:pt idx="27">
                  <c:v>3824535.42</c:v>
                </c:pt>
                <c:pt idx="28">
                  <c:v>4054702.2800000003</c:v>
                </c:pt>
                <c:pt idx="29">
                  <c:v>3062188.1399999987</c:v>
                </c:pt>
                <c:pt idx="30">
                  <c:v>3277038.45</c:v>
                </c:pt>
                <c:pt idx="31">
                  <c:v>3413646.8</c:v>
                </c:pt>
                <c:pt idx="32">
                  <c:v>3383914.7199999993</c:v>
                </c:pt>
                <c:pt idx="33">
                  <c:v>3306132.5299999882</c:v>
                </c:pt>
                <c:pt idx="34">
                  <c:v>2799596.84</c:v>
                </c:pt>
                <c:pt idx="35">
                  <c:v>2971338.89</c:v>
                </c:pt>
                <c:pt idx="36">
                  <c:v>3871223.5799999898</c:v>
                </c:pt>
                <c:pt idx="37">
                  <c:v>3536970.6199999996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9A-4220-A5F3-CE29E264618F}"/>
            </c:ext>
          </c:extLst>
        </c:ser>
        <c:ser>
          <c:idx val="1"/>
          <c:order val="1"/>
          <c:tx>
            <c:v>3 Month Predicted</c:v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'Forward Revenue Calculations'!$E$3:$E$42</c:f>
              <c:numCache>
                <c:formatCode>"$"#,##0.00</c:formatCode>
                <c:ptCount val="40"/>
                <c:pt idx="0">
                  <c:v>1361292.378832808</c:v>
                </c:pt>
                <c:pt idx="1">
                  <c:v>3527430.257079504</c:v>
                </c:pt>
                <c:pt idx="2">
                  <c:v>3402407.1802537004</c:v>
                </c:pt>
                <c:pt idx="3">
                  <c:v>5333944.0978225395</c:v>
                </c:pt>
                <c:pt idx="4">
                  <c:v>4125506.1123965802</c:v>
                </c:pt>
                <c:pt idx="5">
                  <c:v>6539059.0099611599</c:v>
                </c:pt>
                <c:pt idx="6">
                  <c:v>4329775.3048415603</c:v>
                </c:pt>
                <c:pt idx="7">
                  <c:v>3432612.1909167897</c:v>
                </c:pt>
                <c:pt idx="8">
                  <c:v>3534673.418245391</c:v>
                </c:pt>
                <c:pt idx="9">
                  <c:v>6678748.2666138401</c:v>
                </c:pt>
                <c:pt idx="10">
                  <c:v>9422765.5139613599</c:v>
                </c:pt>
                <c:pt idx="11">
                  <c:v>7830064.6530523803</c:v>
                </c:pt>
                <c:pt idx="12">
                  <c:v>6420335.0215987097</c:v>
                </c:pt>
                <c:pt idx="13">
                  <c:v>3429246.735848526</c:v>
                </c:pt>
                <c:pt idx="14">
                  <c:v>5463086.3144169794</c:v>
                </c:pt>
                <c:pt idx="15">
                  <c:v>3935737.2382694045</c:v>
                </c:pt>
                <c:pt idx="16">
                  <c:v>4137472.9324222729</c:v>
                </c:pt>
                <c:pt idx="17">
                  <c:v>4491028.9866318526</c:v>
                </c:pt>
                <c:pt idx="18">
                  <c:v>4009767.2049198728</c:v>
                </c:pt>
                <c:pt idx="19">
                  <c:v>3349766.529610496</c:v>
                </c:pt>
                <c:pt idx="20">
                  <c:v>3245452.5192444837</c:v>
                </c:pt>
                <c:pt idx="21">
                  <c:v>1907867.9791231649</c:v>
                </c:pt>
                <c:pt idx="22">
                  <c:v>2835969.870103267</c:v>
                </c:pt>
                <c:pt idx="23">
                  <c:v>3535468.9153716802</c:v>
                </c:pt>
                <c:pt idx="24">
                  <c:v>3368186.0699449005</c:v>
                </c:pt>
                <c:pt idx="25">
                  <c:v>3023873.7807050701</c:v>
                </c:pt>
                <c:pt idx="26">
                  <c:v>3867879.8898318196</c:v>
                </c:pt>
                <c:pt idx="27">
                  <c:v>3499181.7928405241</c:v>
                </c:pt>
                <c:pt idx="28">
                  <c:v>3842858.6555272182</c:v>
                </c:pt>
                <c:pt idx="29">
                  <c:v>2676481.5235088822</c:v>
                </c:pt>
                <c:pt idx="30">
                  <c:v>3659504.0090016201</c:v>
                </c:pt>
                <c:pt idx="31">
                  <c:v>3398177.8088497757</c:v>
                </c:pt>
                <c:pt idx="32">
                  <c:v>3450319.8750352049</c:v>
                </c:pt>
                <c:pt idx="33">
                  <c:v>2942660.2233169386</c:v>
                </c:pt>
                <c:pt idx="34">
                  <c:v>3689130.4419643898</c:v>
                </c:pt>
                <c:pt idx="35">
                  <c:v>3845955.89168387</c:v>
                </c:pt>
                <c:pt idx="36">
                  <c:v>3743412.7457230603</c:v>
                </c:pt>
                <c:pt idx="37">
                  <c:v>3488345.3266931903</c:v>
                </c:pt>
                <c:pt idx="38">
                  <c:v>4270675.3194456901</c:v>
                </c:pt>
                <c:pt idx="39">
                  <c:v>4227171.9219522309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9A-4220-A5F3-CE29E264618F}"/>
            </c:ext>
          </c:extLst>
        </c:ser>
        <c:ser>
          <c:idx val="2"/>
          <c:order val="2"/>
          <c:tx>
            <c:v>6 Month Actual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'Forward Revenue Calculations'!$H$3:$H$42</c:f>
              <c:numCache>
                <c:formatCode>"$"#,##0.00</c:formatCode>
                <c:ptCount val="40"/>
                <c:pt idx="0">
                  <c:v>3292254.23</c:v>
                </c:pt>
                <c:pt idx="1">
                  <c:v>5206389.9400000004</c:v>
                </c:pt>
                <c:pt idx="2">
                  <c:v>8132119.0699999994</c:v>
                </c:pt>
                <c:pt idx="3">
                  <c:v>6758034.2299999995</c:v>
                </c:pt>
                <c:pt idx="4">
                  <c:v>6818054.6000000006</c:v>
                </c:pt>
                <c:pt idx="5">
                  <c:v>4504866.9499999899</c:v>
                </c:pt>
                <c:pt idx="6">
                  <c:v>6346808.25</c:v>
                </c:pt>
                <c:pt idx="7">
                  <c:v>5905074.9299999988</c:v>
                </c:pt>
                <c:pt idx="8">
                  <c:v>6291725.0999999996</c:v>
                </c:pt>
                <c:pt idx="9">
                  <c:v>4508323.3199999984</c:v>
                </c:pt>
                <c:pt idx="10">
                  <c:v>5733269.6899999985</c:v>
                </c:pt>
                <c:pt idx="11">
                  <c:v>6799754.6299999999</c:v>
                </c:pt>
                <c:pt idx="12">
                  <c:v>5873105.299999998</c:v>
                </c:pt>
                <c:pt idx="13">
                  <c:v>6032336.4799999986</c:v>
                </c:pt>
                <c:pt idx="14">
                  <c:v>6254028.3899999997</c:v>
                </c:pt>
                <c:pt idx="15">
                  <c:v>5504506.8299999982</c:v>
                </c:pt>
                <c:pt idx="16">
                  <c:v>5643419.9199999999</c:v>
                </c:pt>
                <c:pt idx="17">
                  <c:v>4768384.97</c:v>
                </c:pt>
                <c:pt idx="18">
                  <c:v>5532296.1999999993</c:v>
                </c:pt>
                <c:pt idx="19">
                  <c:v>5375185.3899999987</c:v>
                </c:pt>
                <c:pt idx="20">
                  <c:v>5510305.1500000004</c:v>
                </c:pt>
                <c:pt idx="21">
                  <c:v>6127669.9100000001</c:v>
                </c:pt>
                <c:pt idx="22">
                  <c:v>6198822.2299999902</c:v>
                </c:pt>
                <c:pt idx="23">
                  <c:v>6861571.4100000001</c:v>
                </c:pt>
                <c:pt idx="24">
                  <c:v>6779515.5299999993</c:v>
                </c:pt>
                <c:pt idx="25">
                  <c:v>7032223.2899999991</c:v>
                </c:pt>
                <c:pt idx="26">
                  <c:v>7784499.8599999994</c:v>
                </c:pt>
                <c:pt idx="27">
                  <c:v>6732959.2199999997</c:v>
                </c:pt>
                <c:pt idx="28">
                  <c:v>7103857.3099999996</c:v>
                </c:pt>
                <c:pt idx="29">
                  <c:v>6073110.1399999978</c:v>
                </c:pt>
                <c:pt idx="30">
                  <c:v>6282386.049999998</c:v>
                </c:pt>
                <c:pt idx="31">
                  <c:v>5946119.2399999974</c:v>
                </c:pt>
                <c:pt idx="32">
                  <c:v>6076209.5799999982</c:v>
                </c:pt>
                <c:pt idx="33">
                  <c:v>6851021.8399999887</c:v>
                </c:pt>
                <c:pt idx="34">
                  <c:v>6067072.4499999983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9A-4220-A5F3-CE29E264618F}"/>
            </c:ext>
          </c:extLst>
        </c:ser>
        <c:ser>
          <c:idx val="3"/>
          <c:order val="3"/>
          <c:tx>
            <c:v>6 Month Predicted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'Forward Revenue Calculations'!$G$3:$G$42</c:f>
              <c:numCache>
                <c:formatCode>"$"#,##0.00</c:formatCode>
                <c:ptCount val="40"/>
                <c:pt idx="0">
                  <c:v>3582070.0352303172</c:v>
                </c:pt>
                <c:pt idx="1">
                  <c:v>8913324.0530068539</c:v>
                </c:pt>
                <c:pt idx="2">
                  <c:v>7414807.1057889927</c:v>
                </c:pt>
                <c:pt idx="3">
                  <c:v>10761857.79637669</c:v>
                </c:pt>
                <c:pt idx="4">
                  <c:v>6674545.6507477369</c:v>
                </c:pt>
                <c:pt idx="5">
                  <c:v>9764794.7126776986</c:v>
                </c:pt>
                <c:pt idx="6">
                  <c:v>10975094.206838939</c:v>
                </c:pt>
                <c:pt idx="7">
                  <c:v>12127129.324226759</c:v>
                </c:pt>
                <c:pt idx="8">
                  <c:v>12040528.733777359</c:v>
                </c:pt>
                <c:pt idx="9">
                  <c:v>15220977.419006368</c:v>
                </c:pt>
                <c:pt idx="10">
                  <c:v>15336226.369609771</c:v>
                </c:pt>
                <c:pt idx="11">
                  <c:v>14823665.425679971</c:v>
                </c:pt>
                <c:pt idx="12">
                  <c:v>11513359.817282187</c:v>
                </c:pt>
                <c:pt idx="13">
                  <c:v>7482066.6147712022</c:v>
                </c:pt>
                <c:pt idx="14">
                  <c:v>10227716.120709464</c:v>
                </c:pt>
                <c:pt idx="15">
                  <c:v>7851282.0506489202</c:v>
                </c:pt>
                <c:pt idx="16">
                  <c:v>7436391.405783697</c:v>
                </c:pt>
                <c:pt idx="17">
                  <c:v>5465036.8576487014</c:v>
                </c:pt>
                <c:pt idx="18">
                  <c:v>5969302.4231244205</c:v>
                </c:pt>
                <c:pt idx="19">
                  <c:v>6000796.8668605788</c:v>
                </c:pt>
                <c:pt idx="20">
                  <c:v>6600544.5910770241</c:v>
                </c:pt>
                <c:pt idx="21">
                  <c:v>4541454.4923422094</c:v>
                </c:pt>
                <c:pt idx="22">
                  <c:v>5638565.9896483496</c:v>
                </c:pt>
                <c:pt idx="23">
                  <c:v>7320037.1154881334</c:v>
                </c:pt>
                <c:pt idx="24">
                  <c:v>6627967.9586184481</c:v>
                </c:pt>
                <c:pt idx="25">
                  <c:v>6352256.191897193</c:v>
                </c:pt>
                <c:pt idx="26">
                  <c:v>7387224.2020976301</c:v>
                </c:pt>
                <c:pt idx="27">
                  <c:v>6577910.4258724079</c:v>
                </c:pt>
                <c:pt idx="28">
                  <c:v>6744066.9847963303</c:v>
                </c:pt>
                <c:pt idx="29">
                  <c:v>5605988.2075429428</c:v>
                </c:pt>
                <c:pt idx="30">
                  <c:v>6444347.6590106739</c:v>
                </c:pt>
                <c:pt idx="31">
                  <c:v>6833242.0528606959</c:v>
                </c:pt>
                <c:pt idx="32">
                  <c:v>6997986.0903584948</c:v>
                </c:pt>
                <c:pt idx="33">
                  <c:v>6347159.2117639789</c:v>
                </c:pt>
                <c:pt idx="34">
                  <c:v>7148263.1705954997</c:v>
                </c:pt>
                <c:pt idx="35">
                  <c:v>8171993.6951764002</c:v>
                </c:pt>
                <c:pt idx="36">
                  <c:v>7547855.5059014885</c:v>
                </c:pt>
                <c:pt idx="37">
                  <c:v>7326141.7166950712</c:v>
                </c:pt>
                <c:pt idx="38">
                  <c:v>8311073.0693745418</c:v>
                </c:pt>
                <c:pt idx="39">
                  <c:v>7864780.3941105204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9A-4220-A5F3-CE29E264618F}"/>
            </c:ext>
          </c:extLst>
        </c:ser>
        <c:ser>
          <c:idx val="4"/>
          <c:order val="4"/>
          <c:tx>
            <c:v>12 Month Actual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'Forward Revenue Calculations'!$J$3:$J$42</c:f>
              <c:numCache>
                <c:formatCode>"$"#,##0.00</c:formatCode>
                <c:ptCount val="40"/>
                <c:pt idx="0">
                  <c:v>5194535.3199999994</c:v>
                </c:pt>
                <c:pt idx="1">
                  <c:v>8463212.6699999999</c:v>
                </c:pt>
                <c:pt idx="2">
                  <c:v>10689110.810000001</c:v>
                </c:pt>
                <c:pt idx="3">
                  <c:v>9992869.8399999999</c:v>
                </c:pt>
                <c:pt idx="4">
                  <c:v>10808240.849999998</c:v>
                </c:pt>
                <c:pt idx="5">
                  <c:v>9272449.8799999896</c:v>
                </c:pt>
                <c:pt idx="6">
                  <c:v>11004721.800000001</c:v>
                </c:pt>
                <c:pt idx="7">
                  <c:v>10710900.719999999</c:v>
                </c:pt>
                <c:pt idx="8">
                  <c:v>10938269.249999998</c:v>
                </c:pt>
                <c:pt idx="9">
                  <c:v>8972592.0399999972</c:v>
                </c:pt>
                <c:pt idx="10">
                  <c:v>10739603.6</c:v>
                </c:pt>
                <c:pt idx="11">
                  <c:v>10982834.809999999</c:v>
                </c:pt>
                <c:pt idx="12">
                  <c:v>10574008.499999996</c:v>
                </c:pt>
                <c:pt idx="13">
                  <c:v>10692339.399999997</c:v>
                </c:pt>
                <c:pt idx="14">
                  <c:v>10476509.960000001</c:v>
                </c:pt>
                <c:pt idx="15">
                  <c:v>10764033.329999998</c:v>
                </c:pt>
                <c:pt idx="16">
                  <c:v>10920240.02</c:v>
                </c:pt>
                <c:pt idx="17">
                  <c:v>10595213.26999999</c:v>
                </c:pt>
                <c:pt idx="18">
                  <c:v>11391475.539999988</c:v>
                </c:pt>
                <c:pt idx="19">
                  <c:v>11389172.959999997</c:v>
                </c:pt>
                <c:pt idx="20">
                  <c:v>11439478.59</c:v>
                </c:pt>
                <c:pt idx="21">
                  <c:v>11850398.42</c:v>
                </c:pt>
                <c:pt idx="22">
                  <c:v>12208160.529999988</c:v>
                </c:pt>
                <c:pt idx="23">
                  <c:v>11973241.029999999</c:v>
                </c:pt>
                <c:pt idx="24">
                  <c:v>11940676.530000001</c:v>
                </c:pt>
                <c:pt idx="25">
                  <c:v>11915558.719999997</c:v>
                </c:pt>
                <c:pt idx="26">
                  <c:v>11953046.239999998</c:v>
                </c:pt>
                <c:pt idx="27">
                  <c:v>12361781.649999999</c:v>
                </c:pt>
                <c:pt idx="28">
                  <c:v>12140729.119999997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9A-4220-A5F3-CE29E264618F}"/>
            </c:ext>
          </c:extLst>
        </c:ser>
        <c:ser>
          <c:idx val="5"/>
          <c:order val="5"/>
          <c:tx>
            <c:v>12 Month Predicted</c:v>
          </c:tx>
          <c:spPr>
            <a:ln w="2857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'Forward Revenue Calculations'!$I$3:$I$42</c:f>
              <c:numCache>
                <c:formatCode>"$"#,##0.00</c:formatCode>
                <c:ptCount val="40"/>
                <c:pt idx="0">
                  <c:v>14398942.309627751</c:v>
                </c:pt>
                <c:pt idx="1">
                  <c:v>29919336.836673014</c:v>
                </c:pt>
                <c:pt idx="2">
                  <c:v>14374420.023605466</c:v>
                </c:pt>
                <c:pt idx="3">
                  <c:v>33976009.587861136</c:v>
                </c:pt>
                <c:pt idx="4">
                  <c:v>18889545.881200127</c:v>
                </c:pt>
                <c:pt idx="5">
                  <c:v>28836758.193862513</c:v>
                </c:pt>
                <c:pt idx="6">
                  <c:v>27045842.133080021</c:v>
                </c:pt>
                <c:pt idx="7">
                  <c:v>23856656.502477027</c:v>
                </c:pt>
                <c:pt idx="8">
                  <c:v>22402398.470211878</c:v>
                </c:pt>
                <c:pt idx="9">
                  <c:v>26414293.971110582</c:v>
                </c:pt>
                <c:pt idx="10">
                  <c:v>25326857.417371985</c:v>
                </c:pt>
                <c:pt idx="11">
                  <c:v>21222919.510429434</c:v>
                </c:pt>
                <c:pt idx="12">
                  <c:v>18833972.511686593</c:v>
                </c:pt>
                <c:pt idx="13">
                  <c:v>13150807.694035564</c:v>
                </c:pt>
                <c:pt idx="14">
                  <c:v>14211610.471619746</c:v>
                </c:pt>
                <c:pt idx="15">
                  <c:v>12504673.853740139</c:v>
                </c:pt>
                <c:pt idx="16">
                  <c:v>12529706.670801045</c:v>
                </c:pt>
                <c:pt idx="17">
                  <c:v>11597466.336088788</c:v>
                </c:pt>
                <c:pt idx="18">
                  <c:v>11343401.283170091</c:v>
                </c:pt>
                <c:pt idx="19">
                  <c:v>11367155.520640625</c:v>
                </c:pt>
                <c:pt idx="20">
                  <c:v>12192018.066372527</c:v>
                </c:pt>
                <c:pt idx="21">
                  <c:v>9270794.3170668036</c:v>
                </c:pt>
                <c:pt idx="22">
                  <c:v>10923852.233451098</c:v>
                </c:pt>
                <c:pt idx="23">
                  <c:v>11998128.775572399</c:v>
                </c:pt>
                <c:pt idx="24">
                  <c:v>11717000.659096299</c:v>
                </c:pt>
                <c:pt idx="25">
                  <c:v>11395561.720427988</c:v>
                </c:pt>
                <c:pt idx="26">
                  <c:v>11521437.003399199</c:v>
                </c:pt>
                <c:pt idx="27">
                  <c:v>11809292.388893275</c:v>
                </c:pt>
                <c:pt idx="28">
                  <c:v>12542585.963889441</c:v>
                </c:pt>
                <c:pt idx="29">
                  <c:v>12231701.944719851</c:v>
                </c:pt>
                <c:pt idx="30">
                  <c:v>12999306.708415989</c:v>
                </c:pt>
                <c:pt idx="31">
                  <c:v>13859803.629835624</c:v>
                </c:pt>
                <c:pt idx="32">
                  <c:v>13820949.331621839</c:v>
                </c:pt>
                <c:pt idx="33">
                  <c:v>12881375.629484281</c:v>
                </c:pt>
                <c:pt idx="34">
                  <c:v>14308123.608964814</c:v>
                </c:pt>
                <c:pt idx="35">
                  <c:v>14260845.640370844</c:v>
                </c:pt>
                <c:pt idx="36">
                  <c:v>13741536.629967313</c:v>
                </c:pt>
                <c:pt idx="37">
                  <c:v>13430913.628896231</c:v>
                </c:pt>
                <c:pt idx="38">
                  <c:v>13295263.940064417</c:v>
                </c:pt>
                <c:pt idx="39">
                  <c:v>14673457.377788698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9A-4220-A5F3-CE29E2646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0091344"/>
        <c:axId val="920088944"/>
      </c:lineChart>
      <c:dateAx>
        <c:axId val="920091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088944"/>
        <c:crosses val="autoZero"/>
        <c:auto val="0"/>
        <c:lblOffset val="100"/>
        <c:baseTimeUnit val="months"/>
        <c:majorUnit val="6"/>
        <c:majorTimeUnit val="months"/>
        <c:minorUnit val="3"/>
        <c:minorTimeUnit val="months"/>
      </c:dateAx>
      <c:valAx>
        <c:axId val="9200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091344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322620</xdr:colOff>
      <xdr:row>2</xdr:row>
      <xdr:rowOff>164688</xdr:rowOff>
    </xdr:from>
    <xdr:to>
      <xdr:col>25</xdr:col>
      <xdr:colOff>261168</xdr:colOff>
      <xdr:row>29</xdr:row>
      <xdr:rowOff>92177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9F1F21-A534-849C-29AC-39A654CA9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C7887-268F-4883-9198-1E9E43D2CB3C}">
  <sheetPr filterMode="1"/>
  <dimension ref="A1:H2281"/>
  <sheetViews>
    <sheetView zoomScale="69" zoomScaleNormal="69" workbookViewId="0">
      <selection activeCell="F95" sqref="F95"/>
    </sheetView>
  </sheetViews>
  <sheetFormatPr defaultRowHeight="14.25" x14ac:dyDescent="0.45"/>
  <cols>
    <col min="3" max="3" width="13.33203125" bestFit="1" customWidth="1"/>
    <col min="4" max="4" width="10.265625" bestFit="1" customWidth="1"/>
    <col min="5" max="5" width="12.265625" bestFit="1" customWidth="1"/>
    <col min="6" max="6" width="13.33203125" bestFit="1" customWidth="1"/>
    <col min="8" max="8" width="12.86328125" bestFit="1" customWidth="1"/>
  </cols>
  <sheetData>
    <row r="1" spans="1:8" x14ac:dyDescent="0.4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hidden="1" x14ac:dyDescent="0.45">
      <c r="A2">
        <v>0</v>
      </c>
      <c r="B2" t="s">
        <v>7</v>
      </c>
      <c r="C2" s="3">
        <v>29281.084500439902</v>
      </c>
      <c r="D2" s="3">
        <v>28250.62</v>
      </c>
      <c r="E2" s="3">
        <v>19832.781927729498</v>
      </c>
      <c r="F2" s="3">
        <v>39611.444521607402</v>
      </c>
      <c r="G2" s="1">
        <v>44377</v>
      </c>
      <c r="H2" s="1">
        <v>44228</v>
      </c>
    </row>
    <row r="3" spans="1:8" hidden="1" x14ac:dyDescent="0.45">
      <c r="A3">
        <v>1</v>
      </c>
      <c r="B3" t="s">
        <v>7</v>
      </c>
      <c r="C3" s="3">
        <v>35003.612318765001</v>
      </c>
      <c r="D3" s="3">
        <v>36247.919999999998</v>
      </c>
      <c r="E3" s="3">
        <v>20333.210066423399</v>
      </c>
      <c r="F3" s="3">
        <v>50728.890108813699</v>
      </c>
      <c r="G3" s="1">
        <v>44377</v>
      </c>
      <c r="H3" s="1">
        <v>44256</v>
      </c>
    </row>
    <row r="4" spans="1:8" hidden="1" x14ac:dyDescent="0.45">
      <c r="A4">
        <v>2</v>
      </c>
      <c r="B4" t="s">
        <v>7</v>
      </c>
      <c r="C4" s="3">
        <v>36670.153608811597</v>
      </c>
      <c r="D4" s="3">
        <v>14721.48</v>
      </c>
      <c r="E4" s="3">
        <v>20080.236814362401</v>
      </c>
      <c r="F4" s="3">
        <v>55177.799890378599</v>
      </c>
      <c r="G4" s="1">
        <v>44377</v>
      </c>
      <c r="H4" s="1">
        <v>44287</v>
      </c>
    </row>
    <row r="5" spans="1:8" hidden="1" x14ac:dyDescent="0.45">
      <c r="A5">
        <v>3</v>
      </c>
      <c r="B5" t="s">
        <v>7</v>
      </c>
      <c r="C5" s="3">
        <v>173362.78788502901</v>
      </c>
      <c r="D5" s="3">
        <v>94346.71</v>
      </c>
      <c r="E5" s="3">
        <v>125624.28819753</v>
      </c>
      <c r="F5" s="3">
        <v>224109.688456239</v>
      </c>
      <c r="G5" s="1">
        <v>44377</v>
      </c>
      <c r="H5" s="1">
        <v>44317</v>
      </c>
    </row>
    <row r="6" spans="1:8" hidden="1" x14ac:dyDescent="0.45">
      <c r="A6">
        <v>4</v>
      </c>
      <c r="B6" t="s">
        <v>7</v>
      </c>
      <c r="C6" s="3">
        <v>857912.46506814903</v>
      </c>
      <c r="D6" s="3">
        <v>970740.72</v>
      </c>
      <c r="E6" s="3">
        <v>734653.00334542105</v>
      </c>
      <c r="F6" s="3">
        <v>980314.54386313003</v>
      </c>
      <c r="G6" s="1">
        <v>44377</v>
      </c>
      <c r="H6" s="1">
        <v>44348</v>
      </c>
    </row>
    <row r="7" spans="1:8" hidden="1" x14ac:dyDescent="0.45">
      <c r="A7">
        <v>5</v>
      </c>
      <c r="B7" t="s">
        <v>8</v>
      </c>
      <c r="C7" s="3">
        <v>372374.85501399898</v>
      </c>
      <c r="D7" s="3">
        <v>920250.69</v>
      </c>
      <c r="E7" s="3">
        <v>135444.25503206</v>
      </c>
      <c r="F7" s="3">
        <v>679569.16358487902</v>
      </c>
      <c r="G7" s="1">
        <v>44377</v>
      </c>
      <c r="H7" s="1">
        <v>44378</v>
      </c>
    </row>
    <row r="8" spans="1:8" hidden="1" x14ac:dyDescent="0.45">
      <c r="A8">
        <v>6</v>
      </c>
      <c r="B8" t="s">
        <v>8</v>
      </c>
      <c r="C8" s="3">
        <v>447463.32723387302</v>
      </c>
      <c r="D8" s="3">
        <v>313308.44</v>
      </c>
      <c r="E8" s="3">
        <v>156571.65480074601</v>
      </c>
      <c r="F8" s="3">
        <v>807213.06220146804</v>
      </c>
      <c r="G8" s="1">
        <v>44377</v>
      </c>
      <c r="H8" s="1">
        <v>44409</v>
      </c>
    </row>
    <row r="9" spans="1:8" hidden="1" x14ac:dyDescent="0.45">
      <c r="A9">
        <v>7</v>
      </c>
      <c r="B9" t="s">
        <v>8</v>
      </c>
      <c r="C9" s="3">
        <v>541454.196584936</v>
      </c>
      <c r="D9" s="3">
        <v>720926.29</v>
      </c>
      <c r="E9" s="3">
        <v>185527.091595932</v>
      </c>
      <c r="F9" s="3">
        <v>982908.65017237805</v>
      </c>
      <c r="G9" s="1">
        <v>44377</v>
      </c>
      <c r="H9" s="1">
        <v>44440</v>
      </c>
    </row>
    <row r="10" spans="1:8" hidden="1" x14ac:dyDescent="0.45">
      <c r="A10">
        <v>8</v>
      </c>
      <c r="B10" t="s">
        <v>8</v>
      </c>
      <c r="C10" s="3">
        <v>632023.30862000503</v>
      </c>
      <c r="D10" s="3">
        <v>260953.12</v>
      </c>
      <c r="E10" s="3">
        <v>231309.433979127</v>
      </c>
      <c r="F10" s="3">
        <v>1163507.95966942</v>
      </c>
      <c r="G10" s="1">
        <v>44377</v>
      </c>
      <c r="H10" s="1">
        <v>44470</v>
      </c>
    </row>
    <row r="11" spans="1:8" hidden="1" x14ac:dyDescent="0.45">
      <c r="A11">
        <v>9</v>
      </c>
      <c r="B11" t="s">
        <v>8</v>
      </c>
      <c r="C11" s="3">
        <v>736232.67062917503</v>
      </c>
      <c r="D11" s="3">
        <v>1029342.98</v>
      </c>
      <c r="E11" s="3">
        <v>247514.29677475101</v>
      </c>
      <c r="F11" s="3">
        <v>1336150.5654339599</v>
      </c>
      <c r="G11" s="1">
        <v>44377</v>
      </c>
      <c r="H11" s="1">
        <v>44501</v>
      </c>
    </row>
    <row r="12" spans="1:8" hidden="1" x14ac:dyDescent="0.45">
      <c r="A12">
        <v>10</v>
      </c>
      <c r="B12" t="s">
        <v>8</v>
      </c>
      <c r="C12" s="3">
        <v>852521.67714832898</v>
      </c>
      <c r="D12" s="3">
        <v>47472.71</v>
      </c>
      <c r="E12" s="3">
        <v>293870.04536966502</v>
      </c>
      <c r="F12" s="3">
        <v>1555781.7024784</v>
      </c>
      <c r="G12" s="1">
        <v>44377</v>
      </c>
      <c r="H12" s="1">
        <v>44531</v>
      </c>
    </row>
    <row r="13" spans="1:8" hidden="1" x14ac:dyDescent="0.45">
      <c r="A13">
        <v>11</v>
      </c>
      <c r="B13" t="s">
        <v>8</v>
      </c>
      <c r="C13" s="3">
        <v>993925.05198876199</v>
      </c>
      <c r="D13" s="3">
        <v>378050.62</v>
      </c>
      <c r="E13" s="3">
        <v>331554.72769061901</v>
      </c>
      <c r="F13" s="3">
        <v>1821589.5254992601</v>
      </c>
      <c r="G13" s="1">
        <v>44377</v>
      </c>
      <c r="H13" s="1">
        <v>44562</v>
      </c>
    </row>
    <row r="14" spans="1:8" hidden="1" x14ac:dyDescent="0.45">
      <c r="A14">
        <v>12</v>
      </c>
      <c r="B14" t="s">
        <v>8</v>
      </c>
      <c r="C14" s="3">
        <v>748441.83043875801</v>
      </c>
      <c r="D14" s="3">
        <v>286446.58</v>
      </c>
      <c r="E14" s="3">
        <v>243985.545339843</v>
      </c>
      <c r="F14" s="3">
        <v>1381414.0850108101</v>
      </c>
      <c r="G14" s="1">
        <v>44377</v>
      </c>
      <c r="H14" s="1">
        <v>44593</v>
      </c>
    </row>
    <row r="15" spans="1:8" hidden="1" x14ac:dyDescent="0.45">
      <c r="A15">
        <v>13</v>
      </c>
      <c r="B15" t="s">
        <v>8</v>
      </c>
      <c r="C15" s="3">
        <v>685857.26390759996</v>
      </c>
      <c r="D15" s="3">
        <v>649508.75</v>
      </c>
      <c r="E15" s="3">
        <v>238005.238788724</v>
      </c>
      <c r="F15" s="3">
        <v>1277901.7090536801</v>
      </c>
      <c r="G15" s="1">
        <v>44377</v>
      </c>
      <c r="H15" s="1">
        <v>44621</v>
      </c>
    </row>
    <row r="16" spans="1:8" hidden="1" x14ac:dyDescent="0.45">
      <c r="A16">
        <v>14</v>
      </c>
      <c r="B16" t="s">
        <v>8</v>
      </c>
      <c r="C16" s="3">
        <v>610848.48642740399</v>
      </c>
      <c r="D16" s="3">
        <v>26334.28</v>
      </c>
      <c r="E16" s="3">
        <v>215692.32122601001</v>
      </c>
      <c r="F16" s="3">
        <v>1125485.1887589099</v>
      </c>
      <c r="G16" s="1">
        <v>44377</v>
      </c>
      <c r="H16" s="1">
        <v>44652</v>
      </c>
    </row>
    <row r="17" spans="1:8" hidden="1" x14ac:dyDescent="0.45">
      <c r="A17">
        <v>15</v>
      </c>
      <c r="B17" t="s">
        <v>8</v>
      </c>
      <c r="C17" s="3">
        <v>2043909.6682603401</v>
      </c>
      <c r="D17" s="3">
        <v>160373.79999999999</v>
      </c>
      <c r="E17" s="3">
        <v>1057841.7753590799</v>
      </c>
      <c r="F17" s="3">
        <v>3188299.33036676</v>
      </c>
      <c r="G17" s="1">
        <v>44377</v>
      </c>
      <c r="H17" s="1">
        <v>44682</v>
      </c>
    </row>
    <row r="18" spans="1:8" hidden="1" x14ac:dyDescent="0.45">
      <c r="A18">
        <v>16</v>
      </c>
      <c r="B18" t="s">
        <v>8</v>
      </c>
      <c r="C18" s="3">
        <v>5733889.9733745698</v>
      </c>
      <c r="D18" s="3">
        <v>401567.06</v>
      </c>
      <c r="E18" s="3">
        <v>3561558.6135337199</v>
      </c>
      <c r="F18" s="3">
        <v>8147582.6092660502</v>
      </c>
      <c r="G18" s="1">
        <v>44377</v>
      </c>
      <c r="H18" s="1">
        <v>44713</v>
      </c>
    </row>
    <row r="19" spans="1:8" hidden="1" x14ac:dyDescent="0.45">
      <c r="A19">
        <v>17</v>
      </c>
      <c r="B19" t="s">
        <v>8</v>
      </c>
      <c r="C19" s="3">
        <v>2444291.8944173702</v>
      </c>
      <c r="D19" s="3">
        <v>199374.26</v>
      </c>
      <c r="E19" s="3">
        <v>734060.13373270596</v>
      </c>
      <c r="F19" s="3">
        <v>4681395.13242485</v>
      </c>
      <c r="G19" s="1">
        <v>44377</v>
      </c>
      <c r="H19" s="1">
        <v>44743</v>
      </c>
    </row>
    <row r="20" spans="1:8" hidden="1" x14ac:dyDescent="0.45">
      <c r="A20">
        <v>18</v>
      </c>
      <c r="B20" t="s">
        <v>8</v>
      </c>
      <c r="C20" s="3">
        <v>2851783.5433819001</v>
      </c>
      <c r="D20" s="3">
        <v>307631.33999999898</v>
      </c>
      <c r="E20" s="3">
        <v>760130.63439924095</v>
      </c>
      <c r="F20" s="3">
        <v>5439879.9652784197</v>
      </c>
      <c r="G20" s="1">
        <v>44377</v>
      </c>
      <c r="H20" s="1">
        <v>44774</v>
      </c>
    </row>
    <row r="21" spans="1:8" hidden="1" x14ac:dyDescent="0.45">
      <c r="A21">
        <v>19</v>
      </c>
      <c r="B21" t="s">
        <v>8</v>
      </c>
      <c r="C21" s="3">
        <v>3335791.6447659801</v>
      </c>
      <c r="D21" s="3">
        <v>232277.66</v>
      </c>
      <c r="E21" s="3">
        <v>924750.05262203398</v>
      </c>
      <c r="F21" s="3">
        <v>6474442.9791244697</v>
      </c>
      <c r="G21" s="1">
        <v>44377</v>
      </c>
      <c r="H21" s="1">
        <v>44805</v>
      </c>
    </row>
    <row r="22" spans="1:8" hidden="1" x14ac:dyDescent="0.45">
      <c r="A22">
        <v>20</v>
      </c>
      <c r="B22" t="s">
        <v>8</v>
      </c>
      <c r="C22" s="3">
        <v>3875935.3174316599</v>
      </c>
      <c r="D22" s="3">
        <v>204002.41</v>
      </c>
      <c r="E22" s="3">
        <v>961254.45895966596</v>
      </c>
      <c r="F22" s="3">
        <v>7506276.3955544401</v>
      </c>
      <c r="G22" s="1">
        <v>44377</v>
      </c>
      <c r="H22" s="1">
        <v>44835</v>
      </c>
    </row>
    <row r="23" spans="1:8" hidden="1" x14ac:dyDescent="0.45">
      <c r="A23">
        <v>21</v>
      </c>
      <c r="B23" t="s">
        <v>8</v>
      </c>
      <c r="C23" s="3">
        <v>4529914.6393808201</v>
      </c>
      <c r="D23" s="3">
        <v>342229.08999999898</v>
      </c>
      <c r="E23" s="3">
        <v>1192505.19860236</v>
      </c>
      <c r="F23" s="3">
        <v>8920583.0225338303</v>
      </c>
      <c r="G23" s="1">
        <v>44377</v>
      </c>
      <c r="H23" s="1">
        <v>44866</v>
      </c>
    </row>
    <row r="24" spans="1:8" hidden="1" x14ac:dyDescent="0.45">
      <c r="A24">
        <v>22</v>
      </c>
      <c r="B24" t="s">
        <v>8</v>
      </c>
      <c r="C24" s="3">
        <v>5266955.0168077899</v>
      </c>
      <c r="D24" s="3">
        <v>76057.53</v>
      </c>
      <c r="E24" s="3">
        <v>1328921.60932134</v>
      </c>
      <c r="F24" s="3">
        <v>10439565.1608645</v>
      </c>
      <c r="G24" s="1">
        <v>44377</v>
      </c>
      <c r="H24" s="1">
        <v>44896</v>
      </c>
    </row>
    <row r="25" spans="1:8" hidden="1" x14ac:dyDescent="0.45">
      <c r="A25">
        <v>23</v>
      </c>
      <c r="B25" t="s">
        <v>8</v>
      </c>
      <c r="C25" s="3">
        <v>6171306.4473926397</v>
      </c>
      <c r="D25" s="3">
        <v>224920.93</v>
      </c>
      <c r="E25" s="3">
        <v>1644261.44091606</v>
      </c>
      <c r="F25" s="3">
        <v>12526086.626787201</v>
      </c>
      <c r="G25" s="1">
        <v>44377</v>
      </c>
      <c r="H25" s="1">
        <v>44927</v>
      </c>
    </row>
    <row r="26" spans="1:8" hidden="1" x14ac:dyDescent="0.45">
      <c r="A26">
        <v>24</v>
      </c>
      <c r="B26" t="s">
        <v>8</v>
      </c>
      <c r="C26" s="3">
        <v>4663753.9533796404</v>
      </c>
      <c r="D26" s="3">
        <v>204341.34</v>
      </c>
      <c r="E26" s="3">
        <v>1112102.17435556</v>
      </c>
      <c r="F26" s="3">
        <v>9298323.4735920392</v>
      </c>
      <c r="G26" s="1">
        <v>44377</v>
      </c>
      <c r="H26" s="1">
        <v>44958</v>
      </c>
    </row>
    <row r="27" spans="1:8" hidden="1" x14ac:dyDescent="0.45">
      <c r="A27">
        <v>25</v>
      </c>
      <c r="B27" t="s">
        <v>8</v>
      </c>
      <c r="C27" s="3">
        <v>4307588.5217350796</v>
      </c>
      <c r="D27" s="3">
        <v>133663.1</v>
      </c>
      <c r="E27" s="3">
        <v>1129768.1191474299</v>
      </c>
      <c r="F27" s="3">
        <v>8906620.3863402791</v>
      </c>
      <c r="G27" s="1">
        <v>44377</v>
      </c>
      <c r="H27" s="1">
        <v>44986</v>
      </c>
    </row>
    <row r="28" spans="1:8" hidden="1" x14ac:dyDescent="0.45">
      <c r="A28">
        <v>26</v>
      </c>
      <c r="B28" t="s">
        <v>8</v>
      </c>
      <c r="C28" s="3">
        <v>3860976.4477970302</v>
      </c>
      <c r="D28" s="3">
        <v>227669.53</v>
      </c>
      <c r="E28" s="3">
        <v>986553.84683798102</v>
      </c>
      <c r="F28" s="3">
        <v>7940059.5737747299</v>
      </c>
      <c r="G28" s="1">
        <v>44377</v>
      </c>
      <c r="H28" s="1">
        <v>45017</v>
      </c>
    </row>
    <row r="29" spans="1:8" hidden="1" x14ac:dyDescent="0.45">
      <c r="A29">
        <v>27</v>
      </c>
      <c r="B29" t="s">
        <v>8</v>
      </c>
      <c r="C29" s="3">
        <v>12906018.073009299</v>
      </c>
      <c r="D29" s="3">
        <v>191190.2</v>
      </c>
      <c r="E29" s="3">
        <v>4467857.5951028503</v>
      </c>
      <c r="F29" s="3">
        <v>23689119.117821999</v>
      </c>
      <c r="G29" s="1">
        <v>44377</v>
      </c>
      <c r="H29" s="1">
        <v>45047</v>
      </c>
    </row>
    <row r="30" spans="1:8" hidden="1" x14ac:dyDescent="0.45">
      <c r="A30">
        <v>28</v>
      </c>
      <c r="B30" t="s">
        <v>8</v>
      </c>
      <c r="C30" s="3">
        <v>35748374.678192198</v>
      </c>
      <c r="D30" s="3">
        <v>193099.32</v>
      </c>
      <c r="E30" s="3">
        <v>14195431.5745243</v>
      </c>
      <c r="F30" s="3">
        <v>63063368.760644697</v>
      </c>
      <c r="G30" s="1">
        <v>44377</v>
      </c>
      <c r="H30" s="1">
        <v>45078</v>
      </c>
    </row>
    <row r="31" spans="1:8" hidden="1" x14ac:dyDescent="0.45">
      <c r="A31">
        <v>29</v>
      </c>
      <c r="B31" t="s">
        <v>8</v>
      </c>
      <c r="C31" s="3">
        <v>15466939.905470099</v>
      </c>
      <c r="D31" s="3">
        <v>202119.85</v>
      </c>
      <c r="E31" s="3">
        <v>3107980.8589264699</v>
      </c>
      <c r="F31" s="3">
        <v>32774943.555480201</v>
      </c>
      <c r="G31" s="1">
        <v>44377</v>
      </c>
      <c r="H31" s="1">
        <v>45108</v>
      </c>
    </row>
    <row r="32" spans="1:8" hidden="1" x14ac:dyDescent="0.45">
      <c r="A32">
        <v>30</v>
      </c>
      <c r="B32" t="s">
        <v>8</v>
      </c>
      <c r="C32" s="3">
        <v>18125099.186403699</v>
      </c>
      <c r="D32" s="3">
        <v>207204.29</v>
      </c>
      <c r="E32" s="3">
        <v>3384886.1672056401</v>
      </c>
      <c r="F32" s="3">
        <v>38510003.037235104</v>
      </c>
      <c r="G32" s="1">
        <v>44377</v>
      </c>
      <c r="H32" s="1">
        <v>45139</v>
      </c>
    </row>
    <row r="33" spans="1:8" hidden="1" x14ac:dyDescent="0.45">
      <c r="A33">
        <v>31</v>
      </c>
      <c r="B33" t="s">
        <v>8</v>
      </c>
      <c r="C33" s="3">
        <v>21263117.4423499</v>
      </c>
      <c r="D33" s="3">
        <v>211646.35</v>
      </c>
      <c r="E33" s="3">
        <v>3772671.4452426098</v>
      </c>
      <c r="F33" s="3">
        <v>45951859.891130596</v>
      </c>
      <c r="G33" s="1">
        <v>44377</v>
      </c>
      <c r="H33" s="1">
        <v>45170</v>
      </c>
    </row>
    <row r="34" spans="1:8" hidden="1" x14ac:dyDescent="0.45">
      <c r="A34">
        <v>32</v>
      </c>
      <c r="B34" t="s">
        <v>8</v>
      </c>
      <c r="C34" s="3">
        <v>24821780.641229101</v>
      </c>
      <c r="D34" s="3">
        <v>206192.6</v>
      </c>
      <c r="E34" s="3">
        <v>4227421.0194992404</v>
      </c>
      <c r="F34" s="3">
        <v>54014677.624436297</v>
      </c>
      <c r="G34" s="1">
        <v>44377</v>
      </c>
      <c r="H34" s="1">
        <v>45200</v>
      </c>
    </row>
    <row r="35" spans="1:8" hidden="1" x14ac:dyDescent="0.45">
      <c r="A35">
        <v>33</v>
      </c>
      <c r="B35" t="s">
        <v>8</v>
      </c>
      <c r="C35" s="3">
        <v>29120834.931697201</v>
      </c>
      <c r="D35" s="3">
        <v>270542.08999999898</v>
      </c>
      <c r="E35" s="3">
        <v>4401815.1896387301</v>
      </c>
      <c r="F35" s="3">
        <v>64108147.445872702</v>
      </c>
      <c r="G35" s="1">
        <v>44377</v>
      </c>
      <c r="H35" s="1">
        <v>45231</v>
      </c>
    </row>
    <row r="36" spans="1:8" hidden="1" x14ac:dyDescent="0.45">
      <c r="A36">
        <v>34</v>
      </c>
      <c r="B36" t="s">
        <v>8</v>
      </c>
      <c r="C36" s="3">
        <v>34000101.646124601</v>
      </c>
      <c r="D36" s="3">
        <v>134437.95000000001</v>
      </c>
      <c r="E36" s="3">
        <v>4979246.0171222901</v>
      </c>
      <c r="F36" s="3">
        <v>74665000.783875093</v>
      </c>
      <c r="G36" s="1">
        <v>44377</v>
      </c>
      <c r="H36" s="1">
        <v>45261</v>
      </c>
    </row>
    <row r="37" spans="1:8" hidden="1" x14ac:dyDescent="0.45">
      <c r="A37">
        <v>35</v>
      </c>
      <c r="B37" t="s">
        <v>8</v>
      </c>
      <c r="C37" s="3">
        <v>39969073.394071601</v>
      </c>
      <c r="D37" s="3">
        <v>225855.73</v>
      </c>
      <c r="E37" s="3">
        <v>5677116.0803458896</v>
      </c>
      <c r="F37" s="3">
        <v>90002812.735347003</v>
      </c>
      <c r="G37" s="1">
        <v>44377</v>
      </c>
      <c r="H37" s="1">
        <v>45292</v>
      </c>
    </row>
    <row r="38" spans="1:8" hidden="1" x14ac:dyDescent="0.45">
      <c r="A38">
        <v>36</v>
      </c>
      <c r="B38" t="s">
        <v>8</v>
      </c>
      <c r="C38" s="3">
        <v>30347515.236346599</v>
      </c>
      <c r="D38" s="3">
        <v>138949.139999999</v>
      </c>
      <c r="E38" s="3">
        <v>4494862.7601594003</v>
      </c>
      <c r="F38" s="3">
        <v>68918103.551729202</v>
      </c>
      <c r="G38" s="1">
        <v>44377</v>
      </c>
      <c r="H38" s="1">
        <v>45323</v>
      </c>
    </row>
    <row r="39" spans="1:8" hidden="1" x14ac:dyDescent="0.45">
      <c r="A39">
        <v>37</v>
      </c>
      <c r="B39" t="s">
        <v>8</v>
      </c>
      <c r="C39" s="3">
        <v>28468104.604216401</v>
      </c>
      <c r="D39" s="3">
        <v>138307.01999999999</v>
      </c>
      <c r="E39" s="3">
        <v>4218276.1487000398</v>
      </c>
      <c r="F39" s="3">
        <v>66553806.196597897</v>
      </c>
      <c r="G39" s="1">
        <v>44377</v>
      </c>
      <c r="H39" s="1">
        <v>45352</v>
      </c>
    </row>
    <row r="40" spans="1:8" hidden="1" x14ac:dyDescent="0.45">
      <c r="A40">
        <v>38</v>
      </c>
      <c r="B40" t="s">
        <v>8</v>
      </c>
      <c r="C40" s="3">
        <v>25624053.823394101</v>
      </c>
      <c r="D40" s="3">
        <v>207595.68</v>
      </c>
      <c r="E40" s="3">
        <v>3807675.66785631</v>
      </c>
      <c r="F40" s="3">
        <v>59425107.299455501</v>
      </c>
      <c r="G40" s="1">
        <v>44377</v>
      </c>
      <c r="H40" s="1">
        <v>45383</v>
      </c>
    </row>
    <row r="41" spans="1:8" hidden="1" x14ac:dyDescent="0.45">
      <c r="A41">
        <v>39</v>
      </c>
      <c r="B41" t="s">
        <v>8</v>
      </c>
      <c r="C41" s="3">
        <v>85617973.920411006</v>
      </c>
      <c r="D41" s="3">
        <v>112756.57</v>
      </c>
      <c r="E41" s="3">
        <v>14819351.6107536</v>
      </c>
      <c r="F41" s="3">
        <v>183837526.055114</v>
      </c>
      <c r="G41" s="1">
        <v>44377</v>
      </c>
      <c r="H41" s="1">
        <v>45413</v>
      </c>
    </row>
    <row r="42" spans="1:8" hidden="1" x14ac:dyDescent="0.45">
      <c r="A42">
        <v>40</v>
      </c>
      <c r="B42" t="s">
        <v>8</v>
      </c>
      <c r="C42" s="3">
        <v>234334529.398045</v>
      </c>
      <c r="D42" s="3">
        <v>136570.06</v>
      </c>
      <c r="E42" s="3">
        <v>49862672.444294401</v>
      </c>
      <c r="F42" s="3">
        <v>501397937.406223</v>
      </c>
      <c r="G42" s="1">
        <v>44377</v>
      </c>
      <c r="H42" s="1">
        <v>45444</v>
      </c>
    </row>
    <row r="43" spans="1:8" hidden="1" x14ac:dyDescent="0.45">
      <c r="A43">
        <v>41</v>
      </c>
      <c r="B43" t="s">
        <v>8</v>
      </c>
      <c r="C43" s="3">
        <v>103154778.427858</v>
      </c>
      <c r="D43" s="3">
        <v>138172.09999999899</v>
      </c>
      <c r="E43" s="3">
        <v>11770703.354048099</v>
      </c>
      <c r="F43" s="3">
        <v>250720765.94202399</v>
      </c>
      <c r="G43" s="1">
        <v>44377</v>
      </c>
      <c r="H43" s="1">
        <v>45474</v>
      </c>
    </row>
    <row r="44" spans="1:8" hidden="1" x14ac:dyDescent="0.45">
      <c r="A44">
        <v>42</v>
      </c>
      <c r="B44" t="s">
        <v>8</v>
      </c>
      <c r="C44" s="3">
        <v>121216637.784008</v>
      </c>
      <c r="D44" s="3">
        <v>122513.46</v>
      </c>
      <c r="E44" s="3">
        <v>12326567.2463338</v>
      </c>
      <c r="F44" s="3">
        <v>293747104.54233801</v>
      </c>
      <c r="G44" s="1">
        <v>44377</v>
      </c>
      <c r="H44" s="1">
        <v>45505</v>
      </c>
    </row>
    <row r="45" spans="1:8" hidden="1" x14ac:dyDescent="0.45">
      <c r="A45">
        <v>43</v>
      </c>
      <c r="B45" t="s">
        <v>8</v>
      </c>
      <c r="C45" s="3">
        <v>142783768.09800401</v>
      </c>
      <c r="D45" s="3">
        <v>226881.74</v>
      </c>
      <c r="E45" s="3">
        <v>14557234.154715501</v>
      </c>
      <c r="F45" s="3">
        <v>352257531.33461899</v>
      </c>
      <c r="G45" s="1">
        <v>44377</v>
      </c>
      <c r="H45" s="1">
        <v>45536</v>
      </c>
    </row>
    <row r="46" spans="1:8" hidden="1" x14ac:dyDescent="0.45">
      <c r="A46">
        <v>44</v>
      </c>
      <c r="B46" t="s">
        <v>8</v>
      </c>
      <c r="C46" s="3">
        <v>167250108.88107499</v>
      </c>
      <c r="D46" s="3">
        <v>100918.2</v>
      </c>
      <c r="E46" s="3">
        <v>14815134.0886399</v>
      </c>
      <c r="F46" s="3">
        <v>418529152.76862103</v>
      </c>
      <c r="G46" s="1">
        <v>44377</v>
      </c>
      <c r="H46" s="1">
        <v>45566</v>
      </c>
    </row>
    <row r="47" spans="1:8" hidden="1" x14ac:dyDescent="0.45">
      <c r="A47">
        <v>45</v>
      </c>
      <c r="B47" t="s">
        <v>8</v>
      </c>
      <c r="C47" s="3">
        <v>196965772.88271499</v>
      </c>
      <c r="D47" s="3"/>
      <c r="E47" s="3">
        <v>17500693.5623351</v>
      </c>
      <c r="F47" s="3">
        <v>498290223.88830698</v>
      </c>
      <c r="G47" s="1">
        <v>44377</v>
      </c>
      <c r="H47" s="1">
        <v>45597</v>
      </c>
    </row>
    <row r="48" spans="1:8" hidden="1" x14ac:dyDescent="0.45">
      <c r="A48">
        <v>46</v>
      </c>
      <c r="B48" t="s">
        <v>8</v>
      </c>
      <c r="C48" s="3">
        <v>231057345.01511201</v>
      </c>
      <c r="D48" s="3"/>
      <c r="E48" s="3">
        <v>18019380.121771999</v>
      </c>
      <c r="F48" s="3">
        <v>589056396.08610499</v>
      </c>
      <c r="G48" s="1">
        <v>44377</v>
      </c>
      <c r="H48" s="1">
        <v>45627</v>
      </c>
    </row>
    <row r="49" spans="1:8" hidden="1" x14ac:dyDescent="0.45">
      <c r="A49">
        <v>47</v>
      </c>
      <c r="B49" t="s">
        <v>8</v>
      </c>
      <c r="C49" s="3">
        <v>272816080.43516999</v>
      </c>
      <c r="D49" s="3"/>
      <c r="E49" s="3">
        <v>20610268.842482001</v>
      </c>
      <c r="F49" s="3">
        <v>704147698.01054704</v>
      </c>
      <c r="G49" s="1">
        <v>44377</v>
      </c>
      <c r="H49" s="1">
        <v>45658</v>
      </c>
    </row>
    <row r="50" spans="1:8" hidden="1" x14ac:dyDescent="0.45">
      <c r="A50">
        <v>48</v>
      </c>
      <c r="B50" t="s">
        <v>8</v>
      </c>
      <c r="C50" s="3">
        <v>208466299.96370399</v>
      </c>
      <c r="D50" s="3"/>
      <c r="E50" s="3">
        <v>15955180.954599001</v>
      </c>
      <c r="F50" s="3">
        <v>540096803.74067497</v>
      </c>
      <c r="G50" s="1">
        <v>44377</v>
      </c>
      <c r="H50" s="1">
        <v>45689</v>
      </c>
    </row>
    <row r="51" spans="1:8" hidden="1" x14ac:dyDescent="0.45">
      <c r="A51">
        <v>49</v>
      </c>
      <c r="B51" t="s">
        <v>8</v>
      </c>
      <c r="C51" s="3">
        <v>196296706.06346801</v>
      </c>
      <c r="D51" s="3"/>
      <c r="E51" s="3">
        <v>14624157.4318428</v>
      </c>
      <c r="F51" s="3">
        <v>523318683.40223497</v>
      </c>
      <c r="G51" s="1">
        <v>44377</v>
      </c>
      <c r="H51" s="1">
        <v>45717</v>
      </c>
    </row>
    <row r="52" spans="1:8" hidden="1" x14ac:dyDescent="0.45">
      <c r="A52">
        <v>50</v>
      </c>
      <c r="B52" t="s">
        <v>8</v>
      </c>
      <c r="C52" s="3">
        <v>177576472.56594801</v>
      </c>
      <c r="D52" s="3"/>
      <c r="E52" s="3">
        <v>14004494.297150601</v>
      </c>
      <c r="F52" s="3">
        <v>474320703.39441001</v>
      </c>
      <c r="G52" s="1">
        <v>44377</v>
      </c>
      <c r="H52" s="1">
        <v>45748</v>
      </c>
    </row>
    <row r="53" spans="1:8" hidden="1" x14ac:dyDescent="0.45">
      <c r="A53">
        <v>51</v>
      </c>
      <c r="B53" t="s">
        <v>8</v>
      </c>
      <c r="C53" s="3">
        <v>594014218.28317595</v>
      </c>
      <c r="D53" s="3"/>
      <c r="E53" s="3">
        <v>58577848.256640598</v>
      </c>
      <c r="F53" s="3">
        <v>1528207548.5060501</v>
      </c>
      <c r="G53" s="1">
        <v>44377</v>
      </c>
      <c r="H53" s="1">
        <v>45778</v>
      </c>
    </row>
    <row r="54" spans="1:8" hidden="1" x14ac:dyDescent="0.45">
      <c r="A54">
        <v>52</v>
      </c>
      <c r="B54" t="s">
        <v>8</v>
      </c>
      <c r="C54" s="3">
        <v>1603709061.5966499</v>
      </c>
      <c r="D54" s="3"/>
      <c r="E54" s="3">
        <v>161794494.859045</v>
      </c>
      <c r="F54" s="3">
        <v>4071034487.8857598</v>
      </c>
      <c r="G54" s="1">
        <v>44377</v>
      </c>
      <c r="H54" s="1">
        <v>45809</v>
      </c>
    </row>
    <row r="55" spans="1:8" hidden="1" x14ac:dyDescent="0.45">
      <c r="A55">
        <v>53</v>
      </c>
      <c r="B55" t="s">
        <v>8</v>
      </c>
      <c r="C55" s="3">
        <v>719755695.17566001</v>
      </c>
      <c r="D55" s="3"/>
      <c r="E55" s="3">
        <v>40011155.133969299</v>
      </c>
      <c r="F55" s="3">
        <v>1986414823.9001501</v>
      </c>
      <c r="G55" s="1">
        <v>44377</v>
      </c>
      <c r="H55" s="1">
        <v>45839</v>
      </c>
    </row>
    <row r="56" spans="1:8" hidden="1" x14ac:dyDescent="0.45">
      <c r="A56">
        <v>54</v>
      </c>
      <c r="B56" t="s">
        <v>8</v>
      </c>
      <c r="C56" s="3">
        <v>848722334.22433305</v>
      </c>
      <c r="D56" s="3"/>
      <c r="E56" s="3">
        <v>43575030.551318198</v>
      </c>
      <c r="F56" s="3">
        <v>2354506525.69172</v>
      </c>
      <c r="G56" s="1">
        <v>44377</v>
      </c>
      <c r="H56" s="1">
        <v>45870</v>
      </c>
    </row>
    <row r="57" spans="1:8" hidden="1" x14ac:dyDescent="0.45">
      <c r="A57">
        <v>55</v>
      </c>
      <c r="B57" t="s">
        <v>8</v>
      </c>
      <c r="C57" s="3">
        <v>1005280980.8513</v>
      </c>
      <c r="D57" s="3"/>
      <c r="E57" s="3">
        <v>43411539.155662499</v>
      </c>
      <c r="F57" s="3">
        <v>2812701674.4042101</v>
      </c>
      <c r="G57" s="1">
        <v>44377</v>
      </c>
      <c r="H57" s="1">
        <v>45901</v>
      </c>
    </row>
    <row r="58" spans="1:8" hidden="1" x14ac:dyDescent="0.45">
      <c r="A58">
        <v>56</v>
      </c>
      <c r="B58" t="s">
        <v>8</v>
      </c>
      <c r="C58" s="3">
        <v>1183095449.4911399</v>
      </c>
      <c r="D58" s="3"/>
      <c r="E58" s="3">
        <v>55177263.3723846</v>
      </c>
      <c r="F58" s="3">
        <v>3339569145.3277502</v>
      </c>
      <c r="G58" s="1">
        <v>44377</v>
      </c>
      <c r="H58" s="1">
        <v>45931</v>
      </c>
    </row>
    <row r="59" spans="1:8" x14ac:dyDescent="0.45">
      <c r="A59">
        <v>57</v>
      </c>
      <c r="B59" t="s">
        <v>7</v>
      </c>
      <c r="C59" s="3">
        <v>35708.298370305398</v>
      </c>
      <c r="D59" s="3">
        <v>28250.62</v>
      </c>
      <c r="E59" s="3">
        <v>20152.872476587501</v>
      </c>
      <c r="F59" s="3">
        <v>53995.792619174797</v>
      </c>
      <c r="G59" s="1">
        <v>44408</v>
      </c>
      <c r="H59" s="2">
        <v>44228</v>
      </c>
    </row>
    <row r="60" spans="1:8" x14ac:dyDescent="0.45">
      <c r="A60">
        <v>58</v>
      </c>
      <c r="B60" t="s">
        <v>7</v>
      </c>
      <c r="C60" s="3">
        <v>43395.548316699802</v>
      </c>
      <c r="D60" s="3">
        <v>36247.919999999998</v>
      </c>
      <c r="E60" s="3">
        <v>22811.249645103999</v>
      </c>
      <c r="F60" s="3">
        <v>66786.201228606296</v>
      </c>
      <c r="G60" s="1">
        <v>44408</v>
      </c>
      <c r="H60" s="2">
        <v>44256</v>
      </c>
    </row>
    <row r="61" spans="1:8" x14ac:dyDescent="0.45">
      <c r="A61">
        <v>59</v>
      </c>
      <c r="B61" t="s">
        <v>7</v>
      </c>
      <c r="C61" s="3">
        <v>46876.645402414899</v>
      </c>
      <c r="D61" s="3">
        <v>14721.48</v>
      </c>
      <c r="E61" s="3">
        <v>21512.2593077614</v>
      </c>
      <c r="F61" s="3">
        <v>74811.928105027793</v>
      </c>
      <c r="G61" s="1">
        <v>44408</v>
      </c>
      <c r="H61" s="2">
        <v>44287</v>
      </c>
    </row>
    <row r="62" spans="1:8" x14ac:dyDescent="0.45">
      <c r="A62">
        <v>60</v>
      </c>
      <c r="B62" t="s">
        <v>7</v>
      </c>
      <c r="C62" s="3">
        <v>172064.02676176399</v>
      </c>
      <c r="D62" s="3">
        <v>94346.71</v>
      </c>
      <c r="E62" s="3">
        <v>113779.72586811399</v>
      </c>
      <c r="F62" s="3">
        <v>232639.63134061699</v>
      </c>
      <c r="G62" s="1">
        <v>44408</v>
      </c>
      <c r="H62" s="2">
        <v>44317</v>
      </c>
    </row>
    <row r="63" spans="1:8" x14ac:dyDescent="0.45">
      <c r="A63">
        <v>61</v>
      </c>
      <c r="B63" t="s">
        <v>7</v>
      </c>
      <c r="C63" s="3">
        <v>793673.33076561801</v>
      </c>
      <c r="D63" s="3">
        <v>970740.72</v>
      </c>
      <c r="E63" s="3">
        <v>642649.92310259503</v>
      </c>
      <c r="F63" s="3">
        <v>937615.55254359602</v>
      </c>
      <c r="G63" s="1">
        <v>44408</v>
      </c>
      <c r="H63" s="2">
        <v>44348</v>
      </c>
    </row>
    <row r="64" spans="1:8" x14ac:dyDescent="0.45">
      <c r="A64">
        <v>62</v>
      </c>
      <c r="B64" t="s">
        <v>7</v>
      </c>
      <c r="C64" s="3">
        <v>1843426.85187331</v>
      </c>
      <c r="D64" s="3">
        <v>1798271.24</v>
      </c>
      <c r="E64" s="3">
        <v>1615320.5985684399</v>
      </c>
      <c r="F64" s="3">
        <v>2089866.5629650201</v>
      </c>
      <c r="G64" s="1">
        <v>44408</v>
      </c>
      <c r="H64" s="2">
        <v>44378</v>
      </c>
    </row>
    <row r="65" spans="1:8" x14ac:dyDescent="0.45">
      <c r="A65">
        <v>63</v>
      </c>
      <c r="B65" t="s">
        <v>8</v>
      </c>
      <c r="C65" s="3">
        <v>971194.33950563404</v>
      </c>
      <c r="D65" s="3">
        <v>558529.55000000005</v>
      </c>
      <c r="E65" s="3">
        <v>236870.29179704399</v>
      </c>
      <c r="F65" s="3">
        <v>1699770.32541571</v>
      </c>
      <c r="G65" s="1">
        <v>44408</v>
      </c>
      <c r="H65" s="2">
        <v>44409</v>
      </c>
    </row>
    <row r="66" spans="1:8" x14ac:dyDescent="0.45">
      <c r="A66">
        <v>64</v>
      </c>
      <c r="B66" t="s">
        <v>8</v>
      </c>
      <c r="C66" s="3">
        <v>1176291.21563899</v>
      </c>
      <c r="D66" s="3">
        <v>1410240.77</v>
      </c>
      <c r="E66" s="3">
        <v>376156.806650349</v>
      </c>
      <c r="F66" s="3">
        <v>2115885.62979725</v>
      </c>
      <c r="G66" s="1">
        <v>44408</v>
      </c>
      <c r="H66" s="2">
        <v>44440</v>
      </c>
    </row>
    <row r="67" spans="1:8" x14ac:dyDescent="0.45">
      <c r="A67">
        <v>65</v>
      </c>
      <c r="B67" t="s">
        <v>8</v>
      </c>
      <c r="C67" s="3">
        <v>1379944.7019348801</v>
      </c>
      <c r="D67" s="3">
        <v>477784.12</v>
      </c>
      <c r="E67" s="3">
        <v>463690.670226396</v>
      </c>
      <c r="F67" s="3">
        <v>2510049.5855914401</v>
      </c>
      <c r="G67" s="1">
        <v>44408</v>
      </c>
      <c r="H67" s="2">
        <v>44470</v>
      </c>
    </row>
    <row r="68" spans="1:8" x14ac:dyDescent="0.45">
      <c r="A68">
        <v>66</v>
      </c>
      <c r="B68" t="s">
        <v>8</v>
      </c>
      <c r="C68" s="3">
        <v>1605053.7528236001</v>
      </c>
      <c r="D68" s="3">
        <v>1969574.04</v>
      </c>
      <c r="E68" s="3">
        <v>529598.46668139799</v>
      </c>
      <c r="F68" s="3">
        <v>2872694.9793339102</v>
      </c>
      <c r="G68" s="1">
        <v>44408</v>
      </c>
      <c r="H68" s="2">
        <v>44501</v>
      </c>
    </row>
    <row r="69" spans="1:8" x14ac:dyDescent="0.45">
      <c r="A69">
        <v>67</v>
      </c>
      <c r="B69" t="s">
        <v>8</v>
      </c>
      <c r="C69" s="3">
        <v>1789448.40630025</v>
      </c>
      <c r="D69" s="3">
        <v>86709.759999999995</v>
      </c>
      <c r="E69" s="3">
        <v>586358.706467123</v>
      </c>
      <c r="F69" s="3">
        <v>3227146.1758120498</v>
      </c>
      <c r="G69" s="1">
        <v>44408</v>
      </c>
      <c r="H69" s="2">
        <v>44531</v>
      </c>
    </row>
    <row r="70" spans="1:8" x14ac:dyDescent="0.45">
      <c r="A70">
        <v>68</v>
      </c>
      <c r="B70" t="s">
        <v>8</v>
      </c>
      <c r="C70" s="3">
        <v>1991391.6368034999</v>
      </c>
      <c r="D70" s="3">
        <v>703551.7</v>
      </c>
      <c r="E70" s="3">
        <v>675211.44038329902</v>
      </c>
      <c r="F70" s="3">
        <v>3635666.2962526702</v>
      </c>
      <c r="G70" s="1">
        <v>44408</v>
      </c>
      <c r="H70" s="2">
        <v>44562</v>
      </c>
    </row>
    <row r="71" spans="1:8" x14ac:dyDescent="0.45">
      <c r="A71">
        <v>69</v>
      </c>
      <c r="B71" t="s">
        <v>8</v>
      </c>
      <c r="C71" s="3">
        <v>1545968.2300311299</v>
      </c>
      <c r="D71" s="3">
        <v>555554.15</v>
      </c>
      <c r="E71" s="3">
        <v>549799.65969053598</v>
      </c>
      <c r="F71" s="3">
        <v>2793469.7649484002</v>
      </c>
      <c r="G71" s="1">
        <v>44408</v>
      </c>
      <c r="H71" s="2">
        <v>44593</v>
      </c>
    </row>
    <row r="72" spans="1:8" x14ac:dyDescent="0.45">
      <c r="A72">
        <v>70</v>
      </c>
      <c r="B72" t="s">
        <v>8</v>
      </c>
      <c r="C72" s="3">
        <v>1401733.92336407</v>
      </c>
      <c r="D72" s="3">
        <v>1239381.29</v>
      </c>
      <c r="E72" s="3">
        <v>457309.18008454598</v>
      </c>
      <c r="F72" s="3">
        <v>2543996.6252824902</v>
      </c>
      <c r="G72" s="1">
        <v>44408</v>
      </c>
      <c r="H72" s="2">
        <v>44621</v>
      </c>
    </row>
    <row r="73" spans="1:8" x14ac:dyDescent="0.45">
      <c r="A73">
        <v>71</v>
      </c>
      <c r="B73" t="s">
        <v>8</v>
      </c>
      <c r="C73" s="3">
        <v>1269604.64747538</v>
      </c>
      <c r="D73" s="3">
        <v>45630.07</v>
      </c>
      <c r="E73" s="3">
        <v>381778.37739601498</v>
      </c>
      <c r="F73" s="3">
        <v>2360267.6196681</v>
      </c>
      <c r="G73" s="1">
        <v>44408</v>
      </c>
      <c r="H73" s="2">
        <v>44652</v>
      </c>
    </row>
    <row r="74" spans="1:8" x14ac:dyDescent="0.45">
      <c r="A74">
        <v>72</v>
      </c>
      <c r="B74" t="s">
        <v>8</v>
      </c>
      <c r="C74" s="3">
        <v>2904629.1735364702</v>
      </c>
      <c r="D74" s="3">
        <v>295131.55</v>
      </c>
      <c r="E74" s="3">
        <v>1338255.3290887401</v>
      </c>
      <c r="F74" s="3">
        <v>4587328.87829387</v>
      </c>
      <c r="G74" s="1">
        <v>44408</v>
      </c>
      <c r="H74" s="2">
        <v>44682</v>
      </c>
    </row>
    <row r="75" spans="1:8" x14ac:dyDescent="0.45">
      <c r="A75">
        <v>73</v>
      </c>
      <c r="B75" t="s">
        <v>8</v>
      </c>
      <c r="C75" s="3">
        <v>6494998.1165192397</v>
      </c>
      <c r="D75" s="3">
        <v>756604.90999999898</v>
      </c>
      <c r="E75" s="3">
        <v>4039621.9429964898</v>
      </c>
      <c r="F75" s="3">
        <v>9154896.0456948597</v>
      </c>
      <c r="G75" s="1">
        <v>44408</v>
      </c>
      <c r="H75" s="2">
        <v>44713</v>
      </c>
    </row>
    <row r="76" spans="1:8" x14ac:dyDescent="0.45">
      <c r="A76">
        <v>74</v>
      </c>
      <c r="B76" t="s">
        <v>8</v>
      </c>
      <c r="C76" s="3">
        <v>7389078.6927398704</v>
      </c>
      <c r="D76" s="3">
        <v>364520.76</v>
      </c>
      <c r="E76" s="3">
        <v>4718466.3999389596</v>
      </c>
      <c r="F76" s="3">
        <v>10321971.901757199</v>
      </c>
      <c r="G76" s="1">
        <v>44408</v>
      </c>
      <c r="H76" s="2">
        <v>44743</v>
      </c>
    </row>
    <row r="77" spans="1:8" x14ac:dyDescent="0.45">
      <c r="A77">
        <v>75</v>
      </c>
      <c r="B77" t="s">
        <v>8</v>
      </c>
      <c r="C77" s="3">
        <v>4157606.46437163</v>
      </c>
      <c r="D77" s="3">
        <v>604217.52</v>
      </c>
      <c r="E77" s="3">
        <v>1141754.56502092</v>
      </c>
      <c r="F77" s="3">
        <v>7710850.5896252999</v>
      </c>
      <c r="G77" s="1">
        <v>44408</v>
      </c>
      <c r="H77" s="2">
        <v>44774</v>
      </c>
    </row>
    <row r="78" spans="1:8" x14ac:dyDescent="0.45">
      <c r="A78">
        <v>76</v>
      </c>
      <c r="B78" t="s">
        <v>8</v>
      </c>
      <c r="C78" s="3">
        <v>4634647.4937803904</v>
      </c>
      <c r="D78" s="3">
        <v>432113.2</v>
      </c>
      <c r="E78" s="3">
        <v>1284448.1819785901</v>
      </c>
      <c r="F78" s="3">
        <v>8669665.0663165301</v>
      </c>
      <c r="G78" s="1">
        <v>44408</v>
      </c>
      <c r="H78" s="2">
        <v>44805</v>
      </c>
    </row>
    <row r="79" spans="1:8" x14ac:dyDescent="0.45">
      <c r="A79">
        <v>77</v>
      </c>
      <c r="B79" t="s">
        <v>8</v>
      </c>
      <c r="C79" s="3">
        <v>5151547.0064460803</v>
      </c>
      <c r="D79" s="3">
        <v>381680.08</v>
      </c>
      <c r="E79" s="3">
        <v>1388600.0726508801</v>
      </c>
      <c r="F79" s="3">
        <v>9698276.7571047805</v>
      </c>
      <c r="G79" s="1">
        <v>44408</v>
      </c>
      <c r="H79" s="2">
        <v>44835</v>
      </c>
    </row>
    <row r="80" spans="1:8" x14ac:dyDescent="0.45">
      <c r="A80">
        <v>78</v>
      </c>
      <c r="B80" t="s">
        <v>8</v>
      </c>
      <c r="C80" s="3">
        <v>5741581.57275056</v>
      </c>
      <c r="D80" s="3">
        <v>663626.35</v>
      </c>
      <c r="E80" s="3">
        <v>1558713.0648360399</v>
      </c>
      <c r="F80" s="3">
        <v>10945952.4075974</v>
      </c>
      <c r="G80" s="1">
        <v>44408</v>
      </c>
      <c r="H80" s="2">
        <v>44866</v>
      </c>
    </row>
    <row r="81" spans="1:8" x14ac:dyDescent="0.45">
      <c r="A81">
        <v>79</v>
      </c>
      <c r="B81" t="s">
        <v>8</v>
      </c>
      <c r="C81" s="3">
        <v>6382254.1356269503</v>
      </c>
      <c r="D81" s="3">
        <v>152876.01999999999</v>
      </c>
      <c r="E81" s="3">
        <v>1713134.3517143701</v>
      </c>
      <c r="F81" s="3">
        <v>12249240.882450599</v>
      </c>
      <c r="G81" s="1">
        <v>44408</v>
      </c>
      <c r="H81" s="2">
        <v>44896</v>
      </c>
    </row>
    <row r="82" spans="1:8" x14ac:dyDescent="0.45">
      <c r="A82">
        <v>80</v>
      </c>
      <c r="B82" t="s">
        <v>8</v>
      </c>
      <c r="C82" s="3">
        <v>7121828.0389793003</v>
      </c>
      <c r="D82" s="3">
        <v>456240.98</v>
      </c>
      <c r="E82" s="3">
        <v>1899603.1771589101</v>
      </c>
      <c r="F82" s="3">
        <v>13765580.362832399</v>
      </c>
      <c r="G82" s="1">
        <v>44408</v>
      </c>
      <c r="H82" s="2">
        <v>44927</v>
      </c>
    </row>
    <row r="83" spans="1:8" x14ac:dyDescent="0.45">
      <c r="A83">
        <v>81</v>
      </c>
      <c r="B83" t="s">
        <v>8</v>
      </c>
      <c r="C83" s="3">
        <v>5564321.2814707505</v>
      </c>
      <c r="D83" s="3">
        <v>434496.76</v>
      </c>
      <c r="E83" s="3">
        <v>1500506.2173452899</v>
      </c>
      <c r="F83" s="3">
        <v>10702981.206935801</v>
      </c>
      <c r="G83" s="1">
        <v>44408</v>
      </c>
      <c r="H83" s="2">
        <v>44958</v>
      </c>
    </row>
    <row r="84" spans="1:8" x14ac:dyDescent="0.45">
      <c r="A84">
        <v>82</v>
      </c>
      <c r="B84" t="s">
        <v>8</v>
      </c>
      <c r="C84" s="3">
        <v>5061305.7105619004</v>
      </c>
      <c r="D84" s="3">
        <v>258021.77</v>
      </c>
      <c r="E84" s="3">
        <v>1349221.4452460499</v>
      </c>
      <c r="F84" s="3">
        <v>10025925.626307599</v>
      </c>
      <c r="G84" s="1">
        <v>44408</v>
      </c>
      <c r="H84" s="2">
        <v>44986</v>
      </c>
    </row>
    <row r="85" spans="1:8" x14ac:dyDescent="0.45">
      <c r="A85">
        <v>83</v>
      </c>
      <c r="B85" t="s">
        <v>8</v>
      </c>
      <c r="C85" s="3">
        <v>4598880.2862283997</v>
      </c>
      <c r="D85" s="3">
        <v>453729.76</v>
      </c>
      <c r="E85" s="3">
        <v>1143632.12033728</v>
      </c>
      <c r="F85" s="3">
        <v>9289353.2565362491</v>
      </c>
      <c r="G85" s="1">
        <v>44408</v>
      </c>
      <c r="H85" s="2">
        <v>45017</v>
      </c>
    </row>
    <row r="86" spans="1:8" x14ac:dyDescent="0.45">
      <c r="A86">
        <v>84</v>
      </c>
      <c r="B86" t="s">
        <v>8</v>
      </c>
      <c r="C86" s="3">
        <v>10529331.861829</v>
      </c>
      <c r="D86" s="3">
        <v>396812.94</v>
      </c>
      <c r="E86" s="3">
        <v>3670809.7099498501</v>
      </c>
      <c r="F86" s="3">
        <v>19010437.787192501</v>
      </c>
      <c r="G86" s="1">
        <v>44408</v>
      </c>
      <c r="H86" s="2">
        <v>45047</v>
      </c>
    </row>
    <row r="87" spans="1:8" x14ac:dyDescent="0.45">
      <c r="A87">
        <v>85</v>
      </c>
      <c r="B87" t="s">
        <v>8</v>
      </c>
      <c r="C87" s="3">
        <v>23430579.513151601</v>
      </c>
      <c r="D87" s="3">
        <v>390460.53</v>
      </c>
      <c r="E87" s="3">
        <v>10175507.6953748</v>
      </c>
      <c r="F87" s="3">
        <v>39219745.7976586</v>
      </c>
      <c r="G87" s="1">
        <v>44408</v>
      </c>
      <c r="H87" s="2">
        <v>45078</v>
      </c>
    </row>
    <row r="88" spans="1:8" x14ac:dyDescent="0.45">
      <c r="A88">
        <v>86</v>
      </c>
      <c r="B88" t="s">
        <v>8</v>
      </c>
      <c r="C88" s="3">
        <v>26739466.378106602</v>
      </c>
      <c r="D88" s="3">
        <v>401814.6</v>
      </c>
      <c r="E88" s="3">
        <v>11635649.7523196</v>
      </c>
      <c r="F88" s="3">
        <v>44825052.187119201</v>
      </c>
      <c r="G88" s="1">
        <v>44408</v>
      </c>
      <c r="H88" s="2">
        <v>45108</v>
      </c>
    </row>
    <row r="89" spans="1:8" x14ac:dyDescent="0.45">
      <c r="A89">
        <v>87</v>
      </c>
      <c r="B89" t="s">
        <v>8</v>
      </c>
      <c r="C89" s="3">
        <v>15138592.6056192</v>
      </c>
      <c r="D89" s="3">
        <v>419013.46</v>
      </c>
      <c r="E89" s="3">
        <v>3117922.5507812798</v>
      </c>
      <c r="F89" s="3">
        <v>30603529.8041614</v>
      </c>
      <c r="G89" s="1">
        <v>44408</v>
      </c>
      <c r="H89" s="2">
        <v>45139</v>
      </c>
    </row>
    <row r="90" spans="1:8" x14ac:dyDescent="0.45">
      <c r="A90">
        <v>88</v>
      </c>
      <c r="B90" t="s">
        <v>8</v>
      </c>
      <c r="C90" s="3">
        <v>16909046.604566202</v>
      </c>
      <c r="D90" s="3">
        <v>434837.15</v>
      </c>
      <c r="E90" s="3">
        <v>3402266.1444668602</v>
      </c>
      <c r="F90" s="3">
        <v>34505665.470392503</v>
      </c>
      <c r="G90" s="1">
        <v>44408</v>
      </c>
      <c r="H90" s="2">
        <v>45170</v>
      </c>
    </row>
    <row r="91" spans="1:8" x14ac:dyDescent="0.45">
      <c r="A91">
        <v>89</v>
      </c>
      <c r="B91" t="s">
        <v>8</v>
      </c>
      <c r="C91" s="3">
        <v>18834729.974288501</v>
      </c>
      <c r="D91" s="3">
        <v>404822.1</v>
      </c>
      <c r="E91" s="3">
        <v>3399575.4070303598</v>
      </c>
      <c r="F91" s="3">
        <v>38404756.827641502</v>
      </c>
      <c r="G91" s="1">
        <v>44408</v>
      </c>
      <c r="H91" s="2">
        <v>45200</v>
      </c>
    </row>
    <row r="92" spans="1:8" x14ac:dyDescent="0.45">
      <c r="A92">
        <v>90</v>
      </c>
      <c r="B92" t="s">
        <v>8</v>
      </c>
      <c r="C92" s="3">
        <v>21048205.675157499</v>
      </c>
      <c r="D92" s="3">
        <v>543229.16999999899</v>
      </c>
      <c r="E92" s="3">
        <v>3984123.9727415899</v>
      </c>
      <c r="F92" s="3">
        <v>43899720.082419597</v>
      </c>
      <c r="G92" s="1">
        <v>44408</v>
      </c>
      <c r="H92" s="2">
        <v>45231</v>
      </c>
    </row>
    <row r="93" spans="1:8" x14ac:dyDescent="0.45">
      <c r="A93">
        <v>91</v>
      </c>
      <c r="B93" t="s">
        <v>8</v>
      </c>
      <c r="C93" s="3">
        <v>23440034.025372401</v>
      </c>
      <c r="D93" s="3">
        <v>266811.40000000002</v>
      </c>
      <c r="E93" s="3">
        <v>3867596.91760338</v>
      </c>
      <c r="F93" s="3">
        <v>49105374.175238997</v>
      </c>
      <c r="G93" s="1">
        <v>44408</v>
      </c>
      <c r="H93" s="2">
        <v>45261</v>
      </c>
    </row>
    <row r="94" spans="1:8" x14ac:dyDescent="0.45">
      <c r="A94">
        <v>92</v>
      </c>
      <c r="B94" t="s">
        <v>8</v>
      </c>
      <c r="C94" s="3">
        <v>26231045.010336202</v>
      </c>
      <c r="D94" s="3">
        <v>465966.11</v>
      </c>
      <c r="E94" s="3">
        <v>4057064.0330772698</v>
      </c>
      <c r="F94" s="3">
        <v>55324432.767183602</v>
      </c>
      <c r="G94" s="1">
        <v>44408</v>
      </c>
      <c r="H94" s="2">
        <v>45292</v>
      </c>
    </row>
    <row r="95" spans="1:8" x14ac:dyDescent="0.45">
      <c r="A95">
        <v>93</v>
      </c>
      <c r="B95" t="s">
        <v>8</v>
      </c>
      <c r="C95" s="3">
        <v>20629394.267127</v>
      </c>
      <c r="D95" s="3">
        <v>283672.17</v>
      </c>
      <c r="E95" s="3">
        <v>3575503.3845728999</v>
      </c>
      <c r="F95" s="3">
        <v>44267523.247922502</v>
      </c>
      <c r="G95" s="1">
        <v>44408</v>
      </c>
      <c r="H95" s="2">
        <v>45323</v>
      </c>
    </row>
    <row r="96" spans="1:8" x14ac:dyDescent="0.45">
      <c r="A96">
        <v>94</v>
      </c>
      <c r="B96" t="s">
        <v>8</v>
      </c>
      <c r="C96" s="3">
        <v>18884487.213743702</v>
      </c>
      <c r="D96" s="3">
        <v>285422.67</v>
      </c>
      <c r="E96" s="3">
        <v>3868988.9895079499</v>
      </c>
      <c r="F96" s="3">
        <v>42813673.659347698</v>
      </c>
      <c r="G96" s="1">
        <v>44408</v>
      </c>
      <c r="H96" s="2">
        <v>45352</v>
      </c>
    </row>
    <row r="97" spans="1:8" x14ac:dyDescent="0.45">
      <c r="A97">
        <v>95</v>
      </c>
      <c r="B97" t="s">
        <v>8</v>
      </c>
      <c r="C97" s="3">
        <v>17244232.612887301</v>
      </c>
      <c r="D97" s="3">
        <v>418118.57</v>
      </c>
      <c r="E97" s="3">
        <v>2712263.8792303498</v>
      </c>
      <c r="F97" s="3">
        <v>38756314.273523301</v>
      </c>
      <c r="G97" s="1">
        <v>44408</v>
      </c>
      <c r="H97" s="2">
        <v>45383</v>
      </c>
    </row>
    <row r="98" spans="1:8" x14ac:dyDescent="0.45">
      <c r="A98">
        <v>96</v>
      </c>
      <c r="B98" t="s">
        <v>8</v>
      </c>
      <c r="C98" s="3">
        <v>39529222.637280598</v>
      </c>
      <c r="D98" s="3">
        <v>214681.84</v>
      </c>
      <c r="E98" s="3">
        <v>8555754.1028409898</v>
      </c>
      <c r="F98" s="3">
        <v>82140919.9040564</v>
      </c>
      <c r="G98" s="1">
        <v>44408</v>
      </c>
      <c r="H98" s="2">
        <v>45413</v>
      </c>
    </row>
    <row r="99" spans="1:8" x14ac:dyDescent="0.45">
      <c r="A99">
        <v>97</v>
      </c>
      <c r="B99" t="s">
        <v>8</v>
      </c>
      <c r="C99" s="3">
        <v>87546714.655237705</v>
      </c>
      <c r="D99" s="3">
        <v>268103.82</v>
      </c>
      <c r="E99" s="3">
        <v>24290487.037251402</v>
      </c>
      <c r="F99" s="3">
        <v>175145035.53541601</v>
      </c>
      <c r="G99" s="1">
        <v>44408</v>
      </c>
      <c r="H99" s="2">
        <v>45444</v>
      </c>
    </row>
    <row r="100" spans="1:8" x14ac:dyDescent="0.45">
      <c r="A100">
        <v>98</v>
      </c>
      <c r="B100" t="s">
        <v>8</v>
      </c>
      <c r="C100" s="3">
        <v>100070370.328943</v>
      </c>
      <c r="D100" s="3">
        <v>265384.03999999998</v>
      </c>
      <c r="E100" s="3">
        <v>27082756.0273434</v>
      </c>
      <c r="F100" s="3">
        <v>201608005.823531</v>
      </c>
      <c r="G100" s="1">
        <v>44408</v>
      </c>
      <c r="H100" s="2">
        <v>45474</v>
      </c>
    </row>
    <row r="101" spans="1:8" x14ac:dyDescent="0.45">
      <c r="A101">
        <v>99</v>
      </c>
      <c r="B101" t="s">
        <v>8</v>
      </c>
      <c r="C101" s="3">
        <v>56983484.381917298</v>
      </c>
      <c r="D101" s="3">
        <v>244096.31</v>
      </c>
      <c r="E101" s="3">
        <v>7432080.9952155603</v>
      </c>
      <c r="F101" s="3">
        <v>129952100.174537</v>
      </c>
      <c r="G101" s="1">
        <v>44408</v>
      </c>
      <c r="H101" s="2">
        <v>45505</v>
      </c>
    </row>
    <row r="102" spans="1:8" x14ac:dyDescent="0.45">
      <c r="A102">
        <v>100</v>
      </c>
      <c r="B102" t="s">
        <v>8</v>
      </c>
      <c r="C102" s="3">
        <v>63830709.475274198</v>
      </c>
      <c r="D102" s="3">
        <v>450148.63</v>
      </c>
      <c r="E102" s="3">
        <v>7534918.1398737198</v>
      </c>
      <c r="F102" s="3">
        <v>147215495.365197</v>
      </c>
      <c r="G102" s="1">
        <v>44408</v>
      </c>
      <c r="H102" s="2">
        <v>45536</v>
      </c>
    </row>
    <row r="103" spans="1:8" x14ac:dyDescent="0.45">
      <c r="A103">
        <v>101</v>
      </c>
      <c r="B103" t="s">
        <v>8</v>
      </c>
      <c r="C103" s="3">
        <v>71296156.888101697</v>
      </c>
      <c r="D103" s="3">
        <v>197264.04</v>
      </c>
      <c r="E103" s="3">
        <v>8340505.6761944303</v>
      </c>
      <c r="F103" s="3">
        <v>166458016.11662799</v>
      </c>
      <c r="G103" s="1">
        <v>44408</v>
      </c>
      <c r="H103" s="2">
        <v>45566</v>
      </c>
    </row>
    <row r="104" spans="1:8" x14ac:dyDescent="0.45">
      <c r="A104">
        <v>102</v>
      </c>
      <c r="B104" t="s">
        <v>8</v>
      </c>
      <c r="C104" s="3">
        <v>79910180.244627595</v>
      </c>
      <c r="D104" s="3"/>
      <c r="E104" s="3">
        <v>8545382.3585244697</v>
      </c>
      <c r="F104" s="3">
        <v>187508595.102285</v>
      </c>
      <c r="G104" s="1">
        <v>44408</v>
      </c>
      <c r="H104" s="2">
        <v>45597</v>
      </c>
    </row>
    <row r="105" spans="1:8" x14ac:dyDescent="0.45">
      <c r="A105">
        <v>103</v>
      </c>
      <c r="B105" t="s">
        <v>8</v>
      </c>
      <c r="C105" s="3">
        <v>89254430.074861899</v>
      </c>
      <c r="D105" s="3"/>
      <c r="E105" s="3">
        <v>9771890.4157974496</v>
      </c>
      <c r="F105" s="3">
        <v>214010972.16861001</v>
      </c>
      <c r="G105" s="1">
        <v>44408</v>
      </c>
      <c r="H105" s="2">
        <v>45627</v>
      </c>
    </row>
    <row r="106" spans="1:8" x14ac:dyDescent="0.45">
      <c r="A106">
        <v>104</v>
      </c>
      <c r="B106" t="s">
        <v>8</v>
      </c>
      <c r="C106" s="3">
        <v>100051038.550034</v>
      </c>
      <c r="D106" s="3"/>
      <c r="E106" s="3">
        <v>10633935.990511799</v>
      </c>
      <c r="F106" s="3">
        <v>241199707.251329</v>
      </c>
      <c r="G106" s="1">
        <v>44408</v>
      </c>
      <c r="H106" s="2">
        <v>45658</v>
      </c>
    </row>
    <row r="107" spans="1:8" x14ac:dyDescent="0.45">
      <c r="A107">
        <v>105</v>
      </c>
      <c r="B107" t="s">
        <v>8</v>
      </c>
      <c r="C107" s="3">
        <v>79148264.734291598</v>
      </c>
      <c r="D107" s="3"/>
      <c r="E107" s="3">
        <v>8371629.0628773496</v>
      </c>
      <c r="F107" s="3">
        <v>194468344.485232</v>
      </c>
      <c r="G107" s="1">
        <v>44408</v>
      </c>
      <c r="H107" s="2">
        <v>45689</v>
      </c>
    </row>
    <row r="108" spans="1:8" x14ac:dyDescent="0.45">
      <c r="A108">
        <v>106</v>
      </c>
      <c r="B108" t="s">
        <v>8</v>
      </c>
      <c r="C108" s="3">
        <v>72489825.188266098</v>
      </c>
      <c r="D108" s="3"/>
      <c r="E108" s="3">
        <v>6164214.0805560499</v>
      </c>
      <c r="F108" s="3">
        <v>180835151.13341001</v>
      </c>
      <c r="G108" s="1">
        <v>44408</v>
      </c>
      <c r="H108" s="2">
        <v>45717</v>
      </c>
    </row>
    <row r="109" spans="1:8" x14ac:dyDescent="0.45">
      <c r="A109">
        <v>107</v>
      </c>
      <c r="B109" t="s">
        <v>8</v>
      </c>
      <c r="C109" s="3">
        <v>66424239.603856198</v>
      </c>
      <c r="D109" s="3"/>
      <c r="E109" s="3">
        <v>6060976.9505179096</v>
      </c>
      <c r="F109" s="3">
        <v>169105899.962659</v>
      </c>
      <c r="G109" s="1">
        <v>44408</v>
      </c>
      <c r="H109" s="2">
        <v>45748</v>
      </c>
    </row>
    <row r="110" spans="1:8" x14ac:dyDescent="0.45">
      <c r="A110">
        <v>108</v>
      </c>
      <c r="B110" t="s">
        <v>8</v>
      </c>
      <c r="C110" s="3">
        <v>152772159.64620301</v>
      </c>
      <c r="D110" s="3"/>
      <c r="E110" s="3">
        <v>20564433.7094464</v>
      </c>
      <c r="F110" s="3">
        <v>368921764.60615599</v>
      </c>
      <c r="G110" s="1">
        <v>44408</v>
      </c>
      <c r="H110" s="2">
        <v>45778</v>
      </c>
    </row>
    <row r="111" spans="1:8" x14ac:dyDescent="0.45">
      <c r="A111">
        <v>109</v>
      </c>
      <c r="B111" t="s">
        <v>8</v>
      </c>
      <c r="C111" s="3">
        <v>336328705.35068202</v>
      </c>
      <c r="D111" s="3"/>
      <c r="E111" s="3">
        <v>48005114.678039998</v>
      </c>
      <c r="F111" s="3">
        <v>779454499.36127901</v>
      </c>
      <c r="G111" s="1">
        <v>44408</v>
      </c>
      <c r="H111" s="2">
        <v>45809</v>
      </c>
    </row>
    <row r="112" spans="1:8" x14ac:dyDescent="0.45">
      <c r="A112">
        <v>110</v>
      </c>
      <c r="B112" t="s">
        <v>8</v>
      </c>
      <c r="C112" s="3">
        <v>385483326.60023302</v>
      </c>
      <c r="D112" s="3"/>
      <c r="E112" s="3">
        <v>54274143.996833302</v>
      </c>
      <c r="F112" s="3">
        <v>905488727.62389195</v>
      </c>
      <c r="G112" s="1">
        <v>44408</v>
      </c>
      <c r="H112" s="2">
        <v>45839</v>
      </c>
    </row>
    <row r="113" spans="1:8" x14ac:dyDescent="0.45">
      <c r="A113">
        <v>111</v>
      </c>
      <c r="B113" t="s">
        <v>8</v>
      </c>
      <c r="C113" s="3">
        <v>220585706.58612499</v>
      </c>
      <c r="D113" s="3"/>
      <c r="E113" s="3">
        <v>18221182.4474</v>
      </c>
      <c r="F113" s="3">
        <v>571491316.48091805</v>
      </c>
      <c r="G113" s="1">
        <v>44408</v>
      </c>
      <c r="H113" s="2">
        <v>45870</v>
      </c>
    </row>
    <row r="114" spans="1:8" x14ac:dyDescent="0.45">
      <c r="A114">
        <v>112</v>
      </c>
      <c r="B114" t="s">
        <v>8</v>
      </c>
      <c r="C114" s="3">
        <v>247944778.491124</v>
      </c>
      <c r="D114" s="3"/>
      <c r="E114" s="3">
        <v>17929648.364554401</v>
      </c>
      <c r="F114" s="3">
        <v>652411717.174178</v>
      </c>
      <c r="G114" s="1">
        <v>44408</v>
      </c>
      <c r="H114" s="2">
        <v>45901</v>
      </c>
    </row>
    <row r="115" spans="1:8" x14ac:dyDescent="0.45">
      <c r="A115">
        <v>113</v>
      </c>
      <c r="B115" t="s">
        <v>8</v>
      </c>
      <c r="C115" s="3">
        <v>277419493.74201</v>
      </c>
      <c r="D115" s="3"/>
      <c r="E115" s="3">
        <v>21715683.796879798</v>
      </c>
      <c r="F115" s="3">
        <v>741590511.87868702</v>
      </c>
      <c r="G115" s="1">
        <v>44408</v>
      </c>
      <c r="H115" s="2">
        <v>45931</v>
      </c>
    </row>
    <row r="116" spans="1:8" hidden="1" x14ac:dyDescent="0.45">
      <c r="A116">
        <v>114</v>
      </c>
      <c r="B116" t="s">
        <v>7</v>
      </c>
      <c r="C116" s="3">
        <v>56958.982778485901</v>
      </c>
      <c r="D116" s="3">
        <v>28250.62</v>
      </c>
      <c r="E116" s="3">
        <v>31229.6277441372</v>
      </c>
      <c r="F116" s="3">
        <v>86660.441030274495</v>
      </c>
      <c r="G116" s="1">
        <v>44439</v>
      </c>
      <c r="H116" s="2">
        <v>44228</v>
      </c>
    </row>
    <row r="117" spans="1:8" hidden="1" x14ac:dyDescent="0.45">
      <c r="A117">
        <v>115</v>
      </c>
      <c r="B117" t="s">
        <v>7</v>
      </c>
      <c r="C117" s="3">
        <v>64135.216111640199</v>
      </c>
      <c r="D117" s="3">
        <v>36247.919999999998</v>
      </c>
      <c r="E117" s="3">
        <v>33348.6101027681</v>
      </c>
      <c r="F117" s="3">
        <v>98410.902365141097</v>
      </c>
      <c r="G117" s="1">
        <v>44439</v>
      </c>
      <c r="H117" s="2">
        <v>44256</v>
      </c>
    </row>
    <row r="118" spans="1:8" hidden="1" x14ac:dyDescent="0.45">
      <c r="A118">
        <v>116</v>
      </c>
      <c r="B118" t="s">
        <v>7</v>
      </c>
      <c r="C118" s="3">
        <v>64404.138312468</v>
      </c>
      <c r="D118" s="3">
        <v>14721.48</v>
      </c>
      <c r="E118" s="3">
        <v>31123.228081816302</v>
      </c>
      <c r="F118" s="3">
        <v>101053.528434084</v>
      </c>
      <c r="G118" s="1">
        <v>44439</v>
      </c>
      <c r="H118" s="2">
        <v>44287</v>
      </c>
    </row>
    <row r="119" spans="1:8" hidden="1" x14ac:dyDescent="0.45">
      <c r="A119">
        <v>117</v>
      </c>
      <c r="B119" t="s">
        <v>7</v>
      </c>
      <c r="C119" s="3">
        <v>188863.16763911501</v>
      </c>
      <c r="D119" s="3">
        <v>94346.71</v>
      </c>
      <c r="E119" s="3">
        <v>118982.389680123</v>
      </c>
      <c r="F119" s="3">
        <v>258926.03438740599</v>
      </c>
      <c r="G119" s="1">
        <v>44439</v>
      </c>
      <c r="H119" s="2">
        <v>44317</v>
      </c>
    </row>
    <row r="120" spans="1:8" hidden="1" x14ac:dyDescent="0.45">
      <c r="A120">
        <v>118</v>
      </c>
      <c r="B120" t="s">
        <v>7</v>
      </c>
      <c r="C120" s="3">
        <v>767646.50910878496</v>
      </c>
      <c r="D120" s="3">
        <v>970740.72</v>
      </c>
      <c r="E120" s="3">
        <v>624112.462999893</v>
      </c>
      <c r="F120" s="3">
        <v>908167.67802205996</v>
      </c>
      <c r="G120" s="1">
        <v>44439</v>
      </c>
      <c r="H120" s="2">
        <v>44348</v>
      </c>
    </row>
    <row r="121" spans="1:8" hidden="1" x14ac:dyDescent="0.45">
      <c r="A121">
        <v>119</v>
      </c>
      <c r="B121" t="s">
        <v>7</v>
      </c>
      <c r="C121" s="3">
        <v>1650999.11321232</v>
      </c>
      <c r="D121" s="3">
        <v>1798271.24</v>
      </c>
      <c r="E121" s="3">
        <v>1425714.9849769799</v>
      </c>
      <c r="F121" s="3">
        <v>1870200.7560213199</v>
      </c>
      <c r="G121" s="1">
        <v>44439</v>
      </c>
      <c r="H121" s="2">
        <v>44378</v>
      </c>
    </row>
    <row r="122" spans="1:8" hidden="1" x14ac:dyDescent="0.45">
      <c r="A122">
        <v>120</v>
      </c>
      <c r="B122" t="s">
        <v>7</v>
      </c>
      <c r="C122" s="3">
        <v>859437.20758741302</v>
      </c>
      <c r="D122" s="3">
        <v>700449.31</v>
      </c>
      <c r="E122" s="3">
        <v>677581.23211338604</v>
      </c>
      <c r="F122" s="3">
        <v>1045191.64776235</v>
      </c>
      <c r="G122" s="1">
        <v>44439</v>
      </c>
      <c r="H122" s="2">
        <v>44409</v>
      </c>
    </row>
    <row r="123" spans="1:8" hidden="1" x14ac:dyDescent="0.45">
      <c r="A123">
        <v>121</v>
      </c>
      <c r="B123" t="s">
        <v>8</v>
      </c>
      <c r="C123" s="3">
        <v>1078720.7460896</v>
      </c>
      <c r="D123" s="3">
        <v>1694714.8799999999</v>
      </c>
      <c r="E123" s="3">
        <v>485389.847157098</v>
      </c>
      <c r="F123" s="3">
        <v>1695267.83948731</v>
      </c>
      <c r="G123" s="1">
        <v>44439</v>
      </c>
      <c r="H123" s="2">
        <v>44440</v>
      </c>
    </row>
    <row r="124" spans="1:8" hidden="1" x14ac:dyDescent="0.45">
      <c r="A124">
        <v>122</v>
      </c>
      <c r="B124" t="s">
        <v>8</v>
      </c>
      <c r="C124" s="3">
        <v>1122629.27135392</v>
      </c>
      <c r="D124" s="3">
        <v>587673.06000000006</v>
      </c>
      <c r="E124" s="3">
        <v>518437.34575860802</v>
      </c>
      <c r="F124" s="3">
        <v>1757572.898237</v>
      </c>
      <c r="G124" s="1">
        <v>44439</v>
      </c>
      <c r="H124" s="2">
        <v>44470</v>
      </c>
    </row>
    <row r="125" spans="1:8" hidden="1" x14ac:dyDescent="0.45">
      <c r="A125">
        <v>123</v>
      </c>
      <c r="B125" t="s">
        <v>8</v>
      </c>
      <c r="C125" s="3">
        <v>1201057.1628101801</v>
      </c>
      <c r="D125" s="3">
        <v>2545551.54</v>
      </c>
      <c r="E125" s="3">
        <v>541466.83239348698</v>
      </c>
      <c r="F125" s="3">
        <v>1897065.75208777</v>
      </c>
      <c r="G125" s="1">
        <v>44439</v>
      </c>
      <c r="H125" s="2">
        <v>44501</v>
      </c>
    </row>
    <row r="126" spans="1:8" hidden="1" x14ac:dyDescent="0.45">
      <c r="A126">
        <v>124</v>
      </c>
      <c r="B126" t="s">
        <v>8</v>
      </c>
      <c r="C126" s="3">
        <v>1212237.8328781601</v>
      </c>
      <c r="D126" s="3">
        <v>115893.46</v>
      </c>
      <c r="E126" s="3">
        <v>554659.94527107105</v>
      </c>
      <c r="F126" s="3">
        <v>1948692.8424883699</v>
      </c>
      <c r="G126" s="1">
        <v>44439</v>
      </c>
      <c r="H126" s="2">
        <v>44531</v>
      </c>
    </row>
    <row r="127" spans="1:8" hidden="1" x14ac:dyDescent="0.45">
      <c r="A127">
        <v>125</v>
      </c>
      <c r="B127" t="s">
        <v>8</v>
      </c>
      <c r="C127" s="3">
        <v>1209905.8515192801</v>
      </c>
      <c r="D127" s="3">
        <v>866879.049999999</v>
      </c>
      <c r="E127" s="3">
        <v>525737.42814555904</v>
      </c>
      <c r="F127" s="3">
        <v>1956285.0097908799</v>
      </c>
      <c r="G127" s="1">
        <v>44439</v>
      </c>
      <c r="H127" s="2">
        <v>44562</v>
      </c>
    </row>
    <row r="128" spans="1:8" hidden="1" x14ac:dyDescent="0.45">
      <c r="A128">
        <v>126</v>
      </c>
      <c r="B128" t="s">
        <v>8</v>
      </c>
      <c r="C128" s="3">
        <v>882925.61036910105</v>
      </c>
      <c r="D128" s="3">
        <v>669177.80000000005</v>
      </c>
      <c r="E128" s="3">
        <v>373569.06691317703</v>
      </c>
      <c r="F128" s="3">
        <v>1454832.6730804599</v>
      </c>
      <c r="G128" s="1">
        <v>44439</v>
      </c>
      <c r="H128" s="2">
        <v>44593</v>
      </c>
    </row>
    <row r="129" spans="1:8" hidden="1" x14ac:dyDescent="0.45">
      <c r="A129">
        <v>127</v>
      </c>
      <c r="B129" t="s">
        <v>8</v>
      </c>
      <c r="C129" s="3">
        <v>707330.63076875103</v>
      </c>
      <c r="D129" s="3">
        <v>1652229.28</v>
      </c>
      <c r="E129" s="3">
        <v>298907.93502519501</v>
      </c>
      <c r="F129" s="3">
        <v>1222061.68527219</v>
      </c>
      <c r="G129" s="1">
        <v>44439</v>
      </c>
      <c r="H129" s="2">
        <v>44621</v>
      </c>
    </row>
    <row r="130" spans="1:8" hidden="1" x14ac:dyDescent="0.45">
      <c r="A130">
        <v>128</v>
      </c>
      <c r="B130" t="s">
        <v>8</v>
      </c>
      <c r="C130" s="3">
        <v>601641.18047451705</v>
      </c>
      <c r="D130" s="3">
        <v>53704.02</v>
      </c>
      <c r="E130" s="3">
        <v>231659.237220824</v>
      </c>
      <c r="F130" s="3">
        <v>1071658.74001454</v>
      </c>
      <c r="G130" s="1">
        <v>44439</v>
      </c>
      <c r="H130" s="2">
        <v>44652</v>
      </c>
    </row>
    <row r="131" spans="1:8" hidden="1" x14ac:dyDescent="0.45">
      <c r="A131">
        <v>129</v>
      </c>
      <c r="B131" t="s">
        <v>8</v>
      </c>
      <c r="C131" s="3">
        <v>1066345.8167319</v>
      </c>
      <c r="D131" s="3">
        <v>363079.19</v>
      </c>
      <c r="E131" s="3">
        <v>557889.63308758906</v>
      </c>
      <c r="F131" s="3">
        <v>1611870.2761651101</v>
      </c>
      <c r="G131" s="1">
        <v>44439</v>
      </c>
      <c r="H131" s="2">
        <v>44682</v>
      </c>
    </row>
    <row r="132" spans="1:8" hidden="1" x14ac:dyDescent="0.45">
      <c r="A132">
        <v>130</v>
      </c>
      <c r="B132" t="s">
        <v>8</v>
      </c>
      <c r="C132" s="3">
        <v>2126226.0191578502</v>
      </c>
      <c r="D132" s="3">
        <v>912231.31</v>
      </c>
      <c r="E132" s="3">
        <v>1386206.5840859499</v>
      </c>
      <c r="F132" s="3">
        <v>2935408.1327100899</v>
      </c>
      <c r="G132" s="1">
        <v>44439</v>
      </c>
      <c r="H132" s="2">
        <v>44713</v>
      </c>
    </row>
    <row r="133" spans="1:8" hidden="1" x14ac:dyDescent="0.45">
      <c r="A133">
        <v>131</v>
      </c>
      <c r="B133" t="s">
        <v>8</v>
      </c>
      <c r="C133" s="3">
        <v>2183630.6873165299</v>
      </c>
      <c r="D133" s="3">
        <v>463257.24</v>
      </c>
      <c r="E133" s="3">
        <v>1451904.2810674901</v>
      </c>
      <c r="F133" s="3">
        <v>2952060.96770686</v>
      </c>
      <c r="G133" s="1">
        <v>44439</v>
      </c>
      <c r="H133" s="2">
        <v>44743</v>
      </c>
    </row>
    <row r="134" spans="1:8" hidden="1" x14ac:dyDescent="0.45">
      <c r="A134">
        <v>132</v>
      </c>
      <c r="B134" t="s">
        <v>8</v>
      </c>
      <c r="C134" s="3">
        <v>981769.21413567697</v>
      </c>
      <c r="D134" s="3">
        <v>764719.98</v>
      </c>
      <c r="E134" s="3">
        <v>579424.81813690695</v>
      </c>
      <c r="F134" s="3">
        <v>1429383.3442912099</v>
      </c>
      <c r="G134" s="1">
        <v>44439</v>
      </c>
      <c r="H134" s="2">
        <v>44774</v>
      </c>
    </row>
    <row r="135" spans="1:8" hidden="1" x14ac:dyDescent="0.45">
      <c r="A135">
        <v>133</v>
      </c>
      <c r="B135" t="s">
        <v>8</v>
      </c>
      <c r="C135" s="3">
        <v>1076695.3498313299</v>
      </c>
      <c r="D135" s="3">
        <v>530841.97</v>
      </c>
      <c r="E135" s="3">
        <v>430038.55856068397</v>
      </c>
      <c r="F135" s="3">
        <v>1802297.5105782</v>
      </c>
      <c r="G135" s="1">
        <v>44439</v>
      </c>
      <c r="H135" s="2">
        <v>44805</v>
      </c>
    </row>
    <row r="136" spans="1:8" hidden="1" x14ac:dyDescent="0.45">
      <c r="A136">
        <v>134</v>
      </c>
      <c r="B136" t="s">
        <v>8</v>
      </c>
      <c r="C136" s="3">
        <v>1061908.9563335699</v>
      </c>
      <c r="D136" s="3">
        <v>482401.85</v>
      </c>
      <c r="E136" s="3">
        <v>432747.02957646898</v>
      </c>
      <c r="F136" s="3">
        <v>1806735.0480734401</v>
      </c>
      <c r="G136" s="1">
        <v>44439</v>
      </c>
      <c r="H136" s="2">
        <v>44835</v>
      </c>
    </row>
    <row r="137" spans="1:8" hidden="1" x14ac:dyDescent="0.45">
      <c r="A137">
        <v>135</v>
      </c>
      <c r="B137" t="s">
        <v>8</v>
      </c>
      <c r="C137" s="3">
        <v>1046294.88774312</v>
      </c>
      <c r="D137" s="3">
        <v>881931.429999999</v>
      </c>
      <c r="E137" s="3">
        <v>411920.98821252602</v>
      </c>
      <c r="F137" s="3">
        <v>1785775.9907393099</v>
      </c>
      <c r="G137" s="1">
        <v>44439</v>
      </c>
      <c r="H137" s="2">
        <v>44866</v>
      </c>
    </row>
    <row r="138" spans="1:8" hidden="1" x14ac:dyDescent="0.45">
      <c r="A138">
        <v>136</v>
      </c>
      <c r="B138" t="s">
        <v>8</v>
      </c>
      <c r="C138" s="3">
        <v>1032801.52509278</v>
      </c>
      <c r="D138" s="3">
        <v>187407.24</v>
      </c>
      <c r="E138" s="3">
        <v>399548.15617961599</v>
      </c>
      <c r="F138" s="3">
        <v>1768608.9326370801</v>
      </c>
      <c r="G138" s="1">
        <v>44439</v>
      </c>
      <c r="H138" s="2">
        <v>44896</v>
      </c>
    </row>
    <row r="139" spans="1:8" hidden="1" x14ac:dyDescent="0.45">
      <c r="A139">
        <v>137</v>
      </c>
      <c r="B139" t="s">
        <v>8</v>
      </c>
      <c r="C139" s="3">
        <v>1017689.70368045</v>
      </c>
      <c r="D139" s="3">
        <v>557897.96</v>
      </c>
      <c r="E139" s="3">
        <v>400829.99980775901</v>
      </c>
      <c r="F139" s="3">
        <v>1772305.8323387599</v>
      </c>
      <c r="G139" s="1">
        <v>44439</v>
      </c>
      <c r="H139" s="2">
        <v>44927</v>
      </c>
    </row>
    <row r="140" spans="1:8" hidden="1" x14ac:dyDescent="0.45">
      <c r="A140">
        <v>138</v>
      </c>
      <c r="B140" t="s">
        <v>8</v>
      </c>
      <c r="C140" s="3">
        <v>741293.87976358703</v>
      </c>
      <c r="D140" s="3">
        <v>525675.1</v>
      </c>
      <c r="E140" s="3">
        <v>272351.37469143199</v>
      </c>
      <c r="F140" s="3">
        <v>1301440.1189001</v>
      </c>
      <c r="G140" s="1">
        <v>44439</v>
      </c>
      <c r="H140" s="2">
        <v>44958</v>
      </c>
    </row>
    <row r="141" spans="1:8" hidden="1" x14ac:dyDescent="0.45">
      <c r="A141">
        <v>139</v>
      </c>
      <c r="B141" t="s">
        <v>8</v>
      </c>
      <c r="C141" s="3">
        <v>593379.03061779495</v>
      </c>
      <c r="D141" s="3">
        <v>316837.82</v>
      </c>
      <c r="E141" s="3">
        <v>213141.98571995899</v>
      </c>
      <c r="F141" s="3">
        <v>1070320.5888234901</v>
      </c>
      <c r="G141" s="1">
        <v>44439</v>
      </c>
      <c r="H141" s="2">
        <v>44986</v>
      </c>
    </row>
    <row r="142" spans="1:8" hidden="1" x14ac:dyDescent="0.45">
      <c r="A142">
        <v>140</v>
      </c>
      <c r="B142" t="s">
        <v>8</v>
      </c>
      <c r="C142" s="3">
        <v>505633.96462870599</v>
      </c>
      <c r="D142" s="3">
        <v>559720.82999999996</v>
      </c>
      <c r="E142" s="3">
        <v>162292.527424673</v>
      </c>
      <c r="F142" s="3">
        <v>937915.48128270498</v>
      </c>
      <c r="G142" s="1">
        <v>44439</v>
      </c>
      <c r="H142" s="2">
        <v>45017</v>
      </c>
    </row>
    <row r="143" spans="1:8" hidden="1" x14ac:dyDescent="0.45">
      <c r="A143">
        <v>141</v>
      </c>
      <c r="B143" t="s">
        <v>8</v>
      </c>
      <c r="C143" s="3">
        <v>900008.73740128998</v>
      </c>
      <c r="D143" s="3">
        <v>507031.66</v>
      </c>
      <c r="E143" s="3">
        <v>384982.57591043599</v>
      </c>
      <c r="F143" s="3">
        <v>1504674.25478947</v>
      </c>
      <c r="G143" s="1">
        <v>44439</v>
      </c>
      <c r="H143" s="2">
        <v>45047</v>
      </c>
    </row>
    <row r="144" spans="1:8" hidden="1" x14ac:dyDescent="0.45">
      <c r="A144">
        <v>142</v>
      </c>
      <c r="B144" t="s">
        <v>8</v>
      </c>
      <c r="C144" s="3">
        <v>1809326.2825767701</v>
      </c>
      <c r="D144" s="3">
        <v>476274.24</v>
      </c>
      <c r="E144" s="3">
        <v>888768.18655474903</v>
      </c>
      <c r="F144" s="3">
        <v>2809720.4806802901</v>
      </c>
      <c r="G144" s="1">
        <v>44439</v>
      </c>
      <c r="H144" s="2">
        <v>45078</v>
      </c>
    </row>
    <row r="145" spans="1:8" hidden="1" x14ac:dyDescent="0.45">
      <c r="A145">
        <v>143</v>
      </c>
      <c r="B145" t="s">
        <v>8</v>
      </c>
      <c r="C145" s="3">
        <v>1860899.02759132</v>
      </c>
      <c r="D145" s="3">
        <v>500199.98</v>
      </c>
      <c r="E145" s="3">
        <v>955079.79871602298</v>
      </c>
      <c r="F145" s="3">
        <v>2913704.2705397899</v>
      </c>
      <c r="G145" s="1">
        <v>44439</v>
      </c>
      <c r="H145" s="2">
        <v>45108</v>
      </c>
    </row>
    <row r="146" spans="1:8" hidden="1" x14ac:dyDescent="0.45">
      <c r="A146">
        <v>144</v>
      </c>
      <c r="B146" t="s">
        <v>8</v>
      </c>
      <c r="C146" s="3">
        <v>838995.90785196295</v>
      </c>
      <c r="D146" s="3">
        <v>515202.35</v>
      </c>
      <c r="E146" s="3">
        <v>381344.25390616799</v>
      </c>
      <c r="F146" s="3">
        <v>1374042.7187123001</v>
      </c>
      <c r="G146" s="1">
        <v>44439</v>
      </c>
      <c r="H146" s="2">
        <v>45139</v>
      </c>
    </row>
    <row r="147" spans="1:8" hidden="1" x14ac:dyDescent="0.45">
      <c r="A147">
        <v>145</v>
      </c>
      <c r="B147" t="s">
        <v>8</v>
      </c>
      <c r="C147" s="3">
        <v>916542.02254757204</v>
      </c>
      <c r="D147" s="3">
        <v>532692.17000000004</v>
      </c>
      <c r="E147" s="3">
        <v>293750.579907329</v>
      </c>
      <c r="F147" s="3">
        <v>1677804.1053500001</v>
      </c>
      <c r="G147" s="1">
        <v>44439</v>
      </c>
      <c r="H147" s="2">
        <v>45170</v>
      </c>
    </row>
    <row r="148" spans="1:8" hidden="1" x14ac:dyDescent="0.45">
      <c r="A148">
        <v>146</v>
      </c>
      <c r="B148" t="s">
        <v>8</v>
      </c>
      <c r="C148" s="3">
        <v>905567.62681656005</v>
      </c>
      <c r="D148" s="3">
        <v>489071.06</v>
      </c>
      <c r="E148" s="3">
        <v>296526.09560022701</v>
      </c>
      <c r="F148" s="3">
        <v>1681182.1851693101</v>
      </c>
      <c r="G148" s="1">
        <v>44439</v>
      </c>
      <c r="H148" s="2">
        <v>45200</v>
      </c>
    </row>
    <row r="149" spans="1:8" hidden="1" x14ac:dyDescent="0.45">
      <c r="A149">
        <v>147</v>
      </c>
      <c r="B149" t="s">
        <v>8</v>
      </c>
      <c r="C149" s="3">
        <v>894534.37642632402</v>
      </c>
      <c r="D149" s="3">
        <v>711384.299999999</v>
      </c>
      <c r="E149" s="3">
        <v>282216.37442714302</v>
      </c>
      <c r="F149" s="3">
        <v>1667596.86894755</v>
      </c>
      <c r="G149" s="1">
        <v>44439</v>
      </c>
      <c r="H149" s="2">
        <v>45231</v>
      </c>
    </row>
    <row r="150" spans="1:8" hidden="1" x14ac:dyDescent="0.45">
      <c r="A150">
        <v>148</v>
      </c>
      <c r="B150" t="s">
        <v>8</v>
      </c>
      <c r="C150" s="3">
        <v>883701.03709983395</v>
      </c>
      <c r="D150" s="3">
        <v>330141.82</v>
      </c>
      <c r="E150" s="3">
        <v>273369.30177469598</v>
      </c>
      <c r="F150" s="3">
        <v>1664589.1629608599</v>
      </c>
      <c r="G150" s="1">
        <v>44439</v>
      </c>
      <c r="H150" s="2">
        <v>45261</v>
      </c>
    </row>
    <row r="151" spans="1:8" hidden="1" x14ac:dyDescent="0.45">
      <c r="A151">
        <v>149</v>
      </c>
      <c r="B151" t="s">
        <v>8</v>
      </c>
      <c r="C151" s="3">
        <v>872976.75277521403</v>
      </c>
      <c r="D151" s="3">
        <v>569042.14</v>
      </c>
      <c r="E151" s="3">
        <v>257867.486222301</v>
      </c>
      <c r="F151" s="3">
        <v>1657485.1011983501</v>
      </c>
      <c r="G151" s="1">
        <v>44439</v>
      </c>
      <c r="H151" s="2">
        <v>45292</v>
      </c>
    </row>
    <row r="152" spans="1:8" hidden="1" x14ac:dyDescent="0.45">
      <c r="A152">
        <v>150</v>
      </c>
      <c r="B152" t="s">
        <v>8</v>
      </c>
      <c r="C152" s="3">
        <v>636765.42852880305</v>
      </c>
      <c r="D152" s="3">
        <v>348336.83999999898</v>
      </c>
      <c r="E152" s="3">
        <v>179629.000861554</v>
      </c>
      <c r="F152" s="3">
        <v>1229432.9399208501</v>
      </c>
      <c r="G152" s="1">
        <v>44439</v>
      </c>
      <c r="H152" s="2">
        <v>45323</v>
      </c>
    </row>
    <row r="153" spans="1:8" hidden="1" x14ac:dyDescent="0.45">
      <c r="A153">
        <v>151</v>
      </c>
      <c r="B153" t="s">
        <v>8</v>
      </c>
      <c r="C153" s="3">
        <v>509200.23561505601</v>
      </c>
      <c r="D153" s="3">
        <v>357083.37</v>
      </c>
      <c r="E153" s="3">
        <v>129723.150363152</v>
      </c>
      <c r="F153" s="3">
        <v>990206.74797924899</v>
      </c>
      <c r="G153" s="1">
        <v>44439</v>
      </c>
      <c r="H153" s="2">
        <v>45352</v>
      </c>
    </row>
    <row r="154" spans="1:8" hidden="1" x14ac:dyDescent="0.45">
      <c r="A154">
        <v>152</v>
      </c>
      <c r="B154" t="s">
        <v>8</v>
      </c>
      <c r="C154" s="3">
        <v>434474.53431606799</v>
      </c>
      <c r="D154" s="3">
        <v>532651.80000000005</v>
      </c>
      <c r="E154" s="3">
        <v>106612.916369436</v>
      </c>
      <c r="F154" s="3">
        <v>880301.35168233397</v>
      </c>
      <c r="G154" s="1">
        <v>44439</v>
      </c>
      <c r="H154" s="2">
        <v>45383</v>
      </c>
    </row>
    <row r="155" spans="1:8" hidden="1" x14ac:dyDescent="0.45">
      <c r="A155">
        <v>153</v>
      </c>
      <c r="B155" t="s">
        <v>8</v>
      </c>
      <c r="C155" s="3">
        <v>777159.65897272795</v>
      </c>
      <c r="D155" s="3">
        <v>275808.90000000002</v>
      </c>
      <c r="E155" s="3">
        <v>259251.70446913</v>
      </c>
      <c r="F155" s="3">
        <v>1475260.10338518</v>
      </c>
      <c r="G155" s="1">
        <v>44439</v>
      </c>
      <c r="H155" s="2">
        <v>45413</v>
      </c>
    </row>
    <row r="156" spans="1:8" hidden="1" x14ac:dyDescent="0.45">
      <c r="A156">
        <v>154</v>
      </c>
      <c r="B156" t="s">
        <v>8</v>
      </c>
      <c r="C156" s="3">
        <v>1577310.83855636</v>
      </c>
      <c r="D156" s="3">
        <v>329493.64</v>
      </c>
      <c r="E156" s="3">
        <v>544167.64987770596</v>
      </c>
      <c r="F156" s="3">
        <v>2795421.6017819401</v>
      </c>
      <c r="G156" s="1">
        <v>44439</v>
      </c>
      <c r="H156" s="2">
        <v>45444</v>
      </c>
    </row>
    <row r="157" spans="1:8" hidden="1" x14ac:dyDescent="0.45">
      <c r="A157">
        <v>155</v>
      </c>
      <c r="B157" t="s">
        <v>8</v>
      </c>
      <c r="C157" s="3">
        <v>1624242.3768331001</v>
      </c>
      <c r="D157" s="3">
        <v>336024.91</v>
      </c>
      <c r="E157" s="3">
        <v>609132.78165835806</v>
      </c>
      <c r="F157" s="3">
        <v>2946654.19258215</v>
      </c>
      <c r="G157" s="1">
        <v>44439</v>
      </c>
      <c r="H157" s="2">
        <v>45474</v>
      </c>
    </row>
    <row r="158" spans="1:8" hidden="1" x14ac:dyDescent="0.45">
      <c r="A158">
        <v>156</v>
      </c>
      <c r="B158" t="s">
        <v>8</v>
      </c>
      <c r="C158" s="3">
        <v>733374.37772881403</v>
      </c>
      <c r="D158" s="3">
        <v>303628.38</v>
      </c>
      <c r="E158" s="3">
        <v>245837.30733922499</v>
      </c>
      <c r="F158" s="3">
        <v>1365410.0331321401</v>
      </c>
      <c r="G158" s="1">
        <v>44439</v>
      </c>
      <c r="H158" s="2">
        <v>45505</v>
      </c>
    </row>
    <row r="159" spans="1:8" hidden="1" x14ac:dyDescent="0.45">
      <c r="A159">
        <v>157</v>
      </c>
      <c r="B159" t="s">
        <v>8</v>
      </c>
      <c r="C159" s="3">
        <v>798544.22527848498</v>
      </c>
      <c r="D159" s="3">
        <v>572626.98</v>
      </c>
      <c r="E159" s="3">
        <v>190143.942758074</v>
      </c>
      <c r="F159" s="3">
        <v>1627473.64316005</v>
      </c>
      <c r="G159" s="1">
        <v>44439</v>
      </c>
      <c r="H159" s="2">
        <v>45536</v>
      </c>
    </row>
    <row r="160" spans="1:8" hidden="1" x14ac:dyDescent="0.45">
      <c r="A160">
        <v>158</v>
      </c>
      <c r="B160" t="s">
        <v>8</v>
      </c>
      <c r="C160" s="3">
        <v>790395.24946630094</v>
      </c>
      <c r="D160" s="3">
        <v>243295.32</v>
      </c>
      <c r="E160" s="3">
        <v>183642.18381419999</v>
      </c>
      <c r="F160" s="3">
        <v>1616245.6668616401</v>
      </c>
      <c r="G160" s="1">
        <v>44439</v>
      </c>
      <c r="H160" s="2">
        <v>45566</v>
      </c>
    </row>
    <row r="161" spans="1:8" hidden="1" x14ac:dyDescent="0.45">
      <c r="A161">
        <v>159</v>
      </c>
      <c r="B161" t="s">
        <v>8</v>
      </c>
      <c r="C161" s="3">
        <v>782505.18765325204</v>
      </c>
      <c r="D161" s="3"/>
      <c r="E161" s="3">
        <v>179317.097078327</v>
      </c>
      <c r="F161" s="3">
        <v>1619122.7676626099</v>
      </c>
      <c r="G161" s="1">
        <v>44439</v>
      </c>
      <c r="H161" s="2">
        <v>45597</v>
      </c>
    </row>
    <row r="162" spans="1:8" hidden="1" x14ac:dyDescent="0.45">
      <c r="A162">
        <v>160</v>
      </c>
      <c r="B162" t="s">
        <v>8</v>
      </c>
      <c r="C162" s="3">
        <v>774612.54415368196</v>
      </c>
      <c r="D162" s="3"/>
      <c r="E162" s="3">
        <v>171326.70925737801</v>
      </c>
      <c r="F162" s="3">
        <v>1613243.3894843799</v>
      </c>
      <c r="G162" s="1">
        <v>44439</v>
      </c>
      <c r="H162" s="2">
        <v>45627</v>
      </c>
    </row>
    <row r="163" spans="1:8" hidden="1" x14ac:dyDescent="0.45">
      <c r="A163">
        <v>161</v>
      </c>
      <c r="B163" t="s">
        <v>8</v>
      </c>
      <c r="C163" s="3">
        <v>766518.39418463898</v>
      </c>
      <c r="D163" s="3"/>
      <c r="E163" s="3">
        <v>166668.21403173299</v>
      </c>
      <c r="F163" s="3">
        <v>1612900.6007376399</v>
      </c>
      <c r="G163" s="1">
        <v>44439</v>
      </c>
      <c r="H163" s="2">
        <v>45658</v>
      </c>
    </row>
    <row r="164" spans="1:8" hidden="1" x14ac:dyDescent="0.45">
      <c r="A164">
        <v>162</v>
      </c>
      <c r="B164" t="s">
        <v>8</v>
      </c>
      <c r="C164" s="3">
        <v>560064.31271297601</v>
      </c>
      <c r="D164" s="3"/>
      <c r="E164" s="3">
        <v>114453.293339204</v>
      </c>
      <c r="F164" s="3">
        <v>1208889.5218233999</v>
      </c>
      <c r="G164" s="1">
        <v>44439</v>
      </c>
      <c r="H164" s="2">
        <v>45689</v>
      </c>
    </row>
    <row r="165" spans="1:8" hidden="1" x14ac:dyDescent="0.45">
      <c r="A165">
        <v>163</v>
      </c>
      <c r="B165" t="s">
        <v>8</v>
      </c>
      <c r="C165" s="3">
        <v>447350.00204821402</v>
      </c>
      <c r="D165" s="3"/>
      <c r="E165" s="3">
        <v>84403.757992917002</v>
      </c>
      <c r="F165" s="3">
        <v>960875.58802452998</v>
      </c>
      <c r="G165" s="1">
        <v>44439</v>
      </c>
      <c r="H165" s="2">
        <v>45717</v>
      </c>
    </row>
    <row r="166" spans="1:8" hidden="1" x14ac:dyDescent="0.45">
      <c r="A166">
        <v>164</v>
      </c>
      <c r="B166" t="s">
        <v>8</v>
      </c>
      <c r="C166" s="3">
        <v>382266.72112776001</v>
      </c>
      <c r="D166" s="3"/>
      <c r="E166" s="3">
        <v>65757.356990041895</v>
      </c>
      <c r="F166" s="3">
        <v>853413.20782562403</v>
      </c>
      <c r="G166" s="1">
        <v>44439</v>
      </c>
      <c r="H166" s="2">
        <v>45748</v>
      </c>
    </row>
    <row r="167" spans="1:8" hidden="1" x14ac:dyDescent="0.45">
      <c r="A167">
        <v>165</v>
      </c>
      <c r="B167" t="s">
        <v>8</v>
      </c>
      <c r="C167" s="3">
        <v>687313.80221343203</v>
      </c>
      <c r="D167" s="3"/>
      <c r="E167" s="3">
        <v>151485.318365593</v>
      </c>
      <c r="F167" s="3">
        <v>1452447.84934877</v>
      </c>
      <c r="G167" s="1">
        <v>44439</v>
      </c>
      <c r="H167" s="2">
        <v>45778</v>
      </c>
    </row>
    <row r="168" spans="1:8" hidden="1" x14ac:dyDescent="0.45">
      <c r="A168">
        <v>166</v>
      </c>
      <c r="B168" t="s">
        <v>8</v>
      </c>
      <c r="C168" s="3">
        <v>1407758.9844366601</v>
      </c>
      <c r="D168" s="3"/>
      <c r="E168" s="3">
        <v>341834.95426036301</v>
      </c>
      <c r="F168" s="3">
        <v>2861179.9840289601</v>
      </c>
      <c r="G168" s="1">
        <v>44439</v>
      </c>
      <c r="H168" s="2">
        <v>45809</v>
      </c>
    </row>
    <row r="169" spans="1:8" hidden="1" x14ac:dyDescent="0.45">
      <c r="A169">
        <v>167</v>
      </c>
      <c r="B169" t="s">
        <v>8</v>
      </c>
      <c r="C169" s="3">
        <v>1451761.8305095199</v>
      </c>
      <c r="D169" s="3"/>
      <c r="E169" s="3">
        <v>360606.96394937602</v>
      </c>
      <c r="F169" s="3">
        <v>2995121.9278150098</v>
      </c>
      <c r="G169" s="1">
        <v>44439</v>
      </c>
      <c r="H169" s="2">
        <v>45839</v>
      </c>
    </row>
    <row r="170" spans="1:8" hidden="1" x14ac:dyDescent="0.45">
      <c r="A170">
        <v>168</v>
      </c>
      <c r="B170" t="s">
        <v>8</v>
      </c>
      <c r="C170" s="3">
        <v>657086.72232183896</v>
      </c>
      <c r="D170" s="3"/>
      <c r="E170" s="3">
        <v>139156.529242474</v>
      </c>
      <c r="F170" s="3">
        <v>1365016.15378872</v>
      </c>
      <c r="G170" s="1">
        <v>44439</v>
      </c>
      <c r="H170" s="2">
        <v>45870</v>
      </c>
    </row>
    <row r="171" spans="1:8" hidden="1" x14ac:dyDescent="0.45">
      <c r="A171">
        <v>169</v>
      </c>
      <c r="B171" t="s">
        <v>8</v>
      </c>
      <c r="C171" s="3">
        <v>712484.80451388098</v>
      </c>
      <c r="D171" s="3"/>
      <c r="E171" s="3">
        <v>117859.40724227901</v>
      </c>
      <c r="F171" s="3">
        <v>1595881.5948775499</v>
      </c>
      <c r="G171" s="1">
        <v>44439</v>
      </c>
      <c r="H171" s="2">
        <v>45901</v>
      </c>
    </row>
    <row r="172" spans="1:8" hidden="1" x14ac:dyDescent="0.45">
      <c r="A172">
        <v>170</v>
      </c>
      <c r="B172" t="s">
        <v>8</v>
      </c>
      <c r="C172" s="3">
        <v>706401.62868056097</v>
      </c>
      <c r="D172" s="3"/>
      <c r="E172" s="3">
        <v>108319.618718261</v>
      </c>
      <c r="F172" s="3">
        <v>1591210.80873764</v>
      </c>
      <c r="G172" s="1">
        <v>44439</v>
      </c>
      <c r="H172" s="2">
        <v>45931</v>
      </c>
    </row>
    <row r="173" spans="1:8" hidden="1" x14ac:dyDescent="0.45">
      <c r="A173">
        <v>171</v>
      </c>
      <c r="B173" t="s">
        <v>7</v>
      </c>
      <c r="C173" s="3">
        <v>51018.237243652598</v>
      </c>
      <c r="D173" s="3">
        <v>28250.62</v>
      </c>
      <c r="E173" s="3">
        <v>28438.8909454571</v>
      </c>
      <c r="F173" s="3">
        <v>77549.384392173102</v>
      </c>
      <c r="G173" s="1">
        <v>44469</v>
      </c>
      <c r="H173" s="2">
        <v>44228</v>
      </c>
    </row>
    <row r="174" spans="1:8" hidden="1" x14ac:dyDescent="0.45">
      <c r="A174">
        <v>172</v>
      </c>
      <c r="B174" t="s">
        <v>7</v>
      </c>
      <c r="C174" s="3">
        <v>64228.100809809497</v>
      </c>
      <c r="D174" s="3">
        <v>36247.919999999998</v>
      </c>
      <c r="E174" s="3">
        <v>32782.204484050599</v>
      </c>
      <c r="F174" s="3">
        <v>100888.37477809899</v>
      </c>
      <c r="G174" s="1">
        <v>44469</v>
      </c>
      <c r="H174" s="2">
        <v>44256</v>
      </c>
    </row>
    <row r="175" spans="1:8" hidden="1" x14ac:dyDescent="0.45">
      <c r="A175">
        <v>173</v>
      </c>
      <c r="B175" t="s">
        <v>7</v>
      </c>
      <c r="C175" s="3">
        <v>70290.517324287706</v>
      </c>
      <c r="D175" s="3">
        <v>14721.48</v>
      </c>
      <c r="E175" s="3">
        <v>35263.9389403272</v>
      </c>
      <c r="F175" s="3">
        <v>110647.61672294801</v>
      </c>
      <c r="G175" s="1">
        <v>44469</v>
      </c>
      <c r="H175" s="2">
        <v>44287</v>
      </c>
    </row>
    <row r="176" spans="1:8" hidden="1" x14ac:dyDescent="0.45">
      <c r="A176">
        <v>174</v>
      </c>
      <c r="B176" t="s">
        <v>7</v>
      </c>
      <c r="C176" s="3">
        <v>182107.39605247701</v>
      </c>
      <c r="D176" s="3">
        <v>94346.71</v>
      </c>
      <c r="E176" s="3">
        <v>114321.551863349</v>
      </c>
      <c r="F176" s="3">
        <v>252245.506124273</v>
      </c>
      <c r="G176" s="1">
        <v>44469</v>
      </c>
      <c r="H176" s="2">
        <v>44317</v>
      </c>
    </row>
    <row r="177" spans="1:8" hidden="1" x14ac:dyDescent="0.45">
      <c r="A177">
        <v>175</v>
      </c>
      <c r="B177" t="s">
        <v>7</v>
      </c>
      <c r="C177" s="3">
        <v>748936.41497060703</v>
      </c>
      <c r="D177" s="3">
        <v>970740.72</v>
      </c>
      <c r="E177" s="3">
        <v>596910.85924032703</v>
      </c>
      <c r="F177" s="3">
        <v>903655.16302249301</v>
      </c>
      <c r="G177" s="1">
        <v>44469</v>
      </c>
      <c r="H177" s="2">
        <v>44348</v>
      </c>
    </row>
    <row r="178" spans="1:8" hidden="1" x14ac:dyDescent="0.45">
      <c r="A178">
        <v>176</v>
      </c>
      <c r="B178" t="s">
        <v>7</v>
      </c>
      <c r="C178" s="3">
        <v>1694770.98652887</v>
      </c>
      <c r="D178" s="3">
        <v>1798271.24</v>
      </c>
      <c r="E178" s="3">
        <v>1439944.5712212301</v>
      </c>
      <c r="F178" s="3">
        <v>1948644.6133474601</v>
      </c>
      <c r="G178" s="1">
        <v>44469</v>
      </c>
      <c r="H178" s="2">
        <v>44378</v>
      </c>
    </row>
    <row r="179" spans="1:8" hidden="1" x14ac:dyDescent="0.45">
      <c r="A179">
        <v>177</v>
      </c>
      <c r="B179" t="s">
        <v>7</v>
      </c>
      <c r="C179" s="3">
        <v>949327.23832138604</v>
      </c>
      <c r="D179" s="3">
        <v>700449.31</v>
      </c>
      <c r="E179" s="3">
        <v>739001.53926409699</v>
      </c>
      <c r="F179" s="3">
        <v>1172733.0114211701</v>
      </c>
      <c r="G179" s="1">
        <v>44469</v>
      </c>
      <c r="H179" s="2">
        <v>44409</v>
      </c>
    </row>
    <row r="180" spans="1:8" hidden="1" x14ac:dyDescent="0.45">
      <c r="A180">
        <v>178</v>
      </c>
      <c r="B180" t="s">
        <v>7</v>
      </c>
      <c r="C180" s="3">
        <v>1662466.0079064299</v>
      </c>
      <c r="D180" s="3">
        <v>1784906.52</v>
      </c>
      <c r="E180" s="3">
        <v>1349295.0157468</v>
      </c>
      <c r="F180" s="3">
        <v>1976025.0550647301</v>
      </c>
      <c r="G180" s="1">
        <v>44469</v>
      </c>
      <c r="H180" s="2">
        <v>44440</v>
      </c>
    </row>
    <row r="181" spans="1:8" hidden="1" x14ac:dyDescent="0.45">
      <c r="A181">
        <v>179</v>
      </c>
      <c r="B181" t="s">
        <v>8</v>
      </c>
      <c r="C181" s="3">
        <v>1589626.8567397101</v>
      </c>
      <c r="D181" s="3">
        <v>621670.53</v>
      </c>
      <c r="E181" s="3">
        <v>684983.39596804103</v>
      </c>
      <c r="F181" s="3">
        <v>2575208.8339100801</v>
      </c>
      <c r="G181" s="1">
        <v>44469</v>
      </c>
      <c r="H181" s="2">
        <v>44470</v>
      </c>
    </row>
    <row r="182" spans="1:8" hidden="1" x14ac:dyDescent="0.45">
      <c r="A182">
        <v>180</v>
      </c>
      <c r="B182" t="s">
        <v>8</v>
      </c>
      <c r="C182" s="3">
        <v>1785164.5345789799</v>
      </c>
      <c r="D182" s="3">
        <v>2669240.17</v>
      </c>
      <c r="E182" s="3">
        <v>753444.93770921801</v>
      </c>
      <c r="F182" s="3">
        <v>2883368.4853710402</v>
      </c>
      <c r="G182" s="1">
        <v>44469</v>
      </c>
      <c r="H182" s="2">
        <v>44501</v>
      </c>
    </row>
    <row r="183" spans="1:8" hidden="1" x14ac:dyDescent="0.45">
      <c r="A183">
        <v>181</v>
      </c>
      <c r="B183" t="s">
        <v>8</v>
      </c>
      <c r="C183" s="3">
        <v>1959152.7065038499</v>
      </c>
      <c r="D183" s="3">
        <v>125614.1</v>
      </c>
      <c r="E183" s="3">
        <v>862575.68558221206</v>
      </c>
      <c r="F183" s="3">
        <v>3202109.5591708501</v>
      </c>
      <c r="G183" s="1">
        <v>44469</v>
      </c>
      <c r="H183" s="2">
        <v>44531</v>
      </c>
    </row>
    <row r="184" spans="1:8" hidden="1" x14ac:dyDescent="0.45">
      <c r="A184">
        <v>182</v>
      </c>
      <c r="B184" t="s">
        <v>8</v>
      </c>
      <c r="C184" s="3">
        <v>2146690.0787985302</v>
      </c>
      <c r="D184" s="3">
        <v>909332.96</v>
      </c>
      <c r="E184" s="3">
        <v>920363.80811922799</v>
      </c>
      <c r="F184" s="3">
        <v>3490320.0910628899</v>
      </c>
      <c r="G184" s="1">
        <v>44469</v>
      </c>
      <c r="H184" s="2">
        <v>44562</v>
      </c>
    </row>
    <row r="185" spans="1:8" hidden="1" x14ac:dyDescent="0.45">
      <c r="A185">
        <v>183</v>
      </c>
      <c r="B185" t="s">
        <v>8</v>
      </c>
      <c r="C185" s="3">
        <v>1679519.12098986</v>
      </c>
      <c r="D185" s="3">
        <v>701140.55</v>
      </c>
      <c r="E185" s="3">
        <v>773023.68513912498</v>
      </c>
      <c r="F185" s="3">
        <v>2652452.5904433299</v>
      </c>
      <c r="G185" s="1">
        <v>44469</v>
      </c>
      <c r="H185" s="2">
        <v>44593</v>
      </c>
    </row>
    <row r="186" spans="1:8" hidden="1" x14ac:dyDescent="0.45">
      <c r="A186">
        <v>184</v>
      </c>
      <c r="B186" t="s">
        <v>8</v>
      </c>
      <c r="C186" s="3">
        <v>1601704.4987657601</v>
      </c>
      <c r="D186" s="3">
        <v>1731035.92</v>
      </c>
      <c r="E186" s="3">
        <v>586181.38597999699</v>
      </c>
      <c r="F186" s="3">
        <v>2660494.2476844899</v>
      </c>
      <c r="G186" s="1">
        <v>44469</v>
      </c>
      <c r="H186" s="2">
        <v>44621</v>
      </c>
    </row>
    <row r="187" spans="1:8" hidden="1" x14ac:dyDescent="0.45">
      <c r="A187">
        <v>185</v>
      </c>
      <c r="B187" t="s">
        <v>8</v>
      </c>
      <c r="C187" s="3">
        <v>1458777.7802382801</v>
      </c>
      <c r="D187" s="3">
        <v>57835.619999999901</v>
      </c>
      <c r="E187" s="3">
        <v>583285.07345400495</v>
      </c>
      <c r="F187" s="3">
        <v>2513807.7612675601</v>
      </c>
      <c r="G187" s="1">
        <v>44469</v>
      </c>
      <c r="H187" s="2">
        <v>44652</v>
      </c>
    </row>
    <row r="188" spans="1:8" hidden="1" x14ac:dyDescent="0.45">
      <c r="A188">
        <v>186</v>
      </c>
      <c r="B188" t="s">
        <v>8</v>
      </c>
      <c r="C188" s="3">
        <v>2582509.04635126</v>
      </c>
      <c r="D188" s="3">
        <v>383787.19</v>
      </c>
      <c r="E188" s="3">
        <v>1441818.2539878599</v>
      </c>
      <c r="F188" s="3">
        <v>3838090.79448009</v>
      </c>
      <c r="G188" s="1">
        <v>44469</v>
      </c>
      <c r="H188" s="2">
        <v>44682</v>
      </c>
    </row>
    <row r="189" spans="1:8" hidden="1" x14ac:dyDescent="0.45">
      <c r="A189">
        <v>187</v>
      </c>
      <c r="B189" t="s">
        <v>8</v>
      </c>
      <c r="C189" s="3">
        <v>5445899.4141523801</v>
      </c>
      <c r="D189" s="3">
        <v>952232.73</v>
      </c>
      <c r="E189" s="3">
        <v>3887504.5783909499</v>
      </c>
      <c r="F189" s="3">
        <v>7166146.7453736505</v>
      </c>
      <c r="G189" s="1">
        <v>44469</v>
      </c>
      <c r="H189" s="2">
        <v>44713</v>
      </c>
    </row>
    <row r="190" spans="1:8" hidden="1" x14ac:dyDescent="0.45">
      <c r="A190">
        <v>188</v>
      </c>
      <c r="B190" t="s">
        <v>8</v>
      </c>
      <c r="C190" s="3">
        <v>6205473.9416314298</v>
      </c>
      <c r="D190" s="3">
        <v>488374.59</v>
      </c>
      <c r="E190" s="3">
        <v>4463239.3275795104</v>
      </c>
      <c r="F190" s="3">
        <v>8090134.8225679202</v>
      </c>
      <c r="G190" s="1">
        <v>44469</v>
      </c>
      <c r="H190" s="2">
        <v>44743</v>
      </c>
    </row>
    <row r="191" spans="1:8" hidden="1" x14ac:dyDescent="0.45">
      <c r="A191">
        <v>189</v>
      </c>
      <c r="B191" t="s">
        <v>8</v>
      </c>
      <c r="C191" s="3">
        <v>3032017.7733509201</v>
      </c>
      <c r="D191" s="3">
        <v>798343.97</v>
      </c>
      <c r="E191" s="3">
        <v>1938601.9551510799</v>
      </c>
      <c r="F191" s="3">
        <v>4183019.7072933801</v>
      </c>
      <c r="G191" s="1">
        <v>44469</v>
      </c>
      <c r="H191" s="2">
        <v>44774</v>
      </c>
    </row>
    <row r="192" spans="1:8" hidden="1" x14ac:dyDescent="0.45">
      <c r="A192">
        <v>190</v>
      </c>
      <c r="B192" t="s">
        <v>8</v>
      </c>
      <c r="C192" s="3">
        <v>4489473.8357601799</v>
      </c>
      <c r="D192" s="3">
        <v>554261.51</v>
      </c>
      <c r="E192" s="3">
        <v>3123937.3686365802</v>
      </c>
      <c r="F192" s="3">
        <v>5928629.7144604996</v>
      </c>
      <c r="G192" s="1">
        <v>44469</v>
      </c>
      <c r="H192" s="2">
        <v>44805</v>
      </c>
    </row>
    <row r="193" spans="1:8" hidden="1" x14ac:dyDescent="0.45">
      <c r="A193">
        <v>191</v>
      </c>
      <c r="B193" t="s">
        <v>8</v>
      </c>
      <c r="C193" s="3">
        <v>3953319.1674891701</v>
      </c>
      <c r="D193" s="3">
        <v>505863.41</v>
      </c>
      <c r="E193" s="3">
        <v>1718354.65110981</v>
      </c>
      <c r="F193" s="3">
        <v>6642910.3725796798</v>
      </c>
      <c r="G193" s="1">
        <v>44469</v>
      </c>
      <c r="H193" s="2">
        <v>44835</v>
      </c>
    </row>
    <row r="194" spans="1:8" hidden="1" x14ac:dyDescent="0.45">
      <c r="A194">
        <v>192</v>
      </c>
      <c r="B194" t="s">
        <v>8</v>
      </c>
      <c r="C194" s="3">
        <v>4227151.12907888</v>
      </c>
      <c r="D194" s="3">
        <v>925951.46</v>
      </c>
      <c r="E194" s="3">
        <v>1701313.8609746301</v>
      </c>
      <c r="F194" s="3">
        <v>6985298.3642635997</v>
      </c>
      <c r="G194" s="1">
        <v>44469</v>
      </c>
      <c r="H194" s="2">
        <v>44866</v>
      </c>
    </row>
    <row r="195" spans="1:8" hidden="1" x14ac:dyDescent="0.45">
      <c r="A195">
        <v>193</v>
      </c>
      <c r="B195" t="s">
        <v>8</v>
      </c>
      <c r="C195" s="3">
        <v>4512723.6667278996</v>
      </c>
      <c r="D195" s="3">
        <v>194253.36</v>
      </c>
      <c r="E195" s="3">
        <v>1835650.8456741001</v>
      </c>
      <c r="F195" s="3">
        <v>7500367.9179622596</v>
      </c>
      <c r="G195" s="1">
        <v>44469</v>
      </c>
      <c r="H195" s="2">
        <v>44896</v>
      </c>
    </row>
    <row r="196" spans="1:8" hidden="1" x14ac:dyDescent="0.45">
      <c r="A196">
        <v>194</v>
      </c>
      <c r="B196" t="s">
        <v>8</v>
      </c>
      <c r="C196" s="3">
        <v>4825660.73970054</v>
      </c>
      <c r="D196" s="3">
        <v>580985.36</v>
      </c>
      <c r="E196" s="3">
        <v>1987736.3683967199</v>
      </c>
      <c r="F196" s="3">
        <v>8075438.4306315295</v>
      </c>
      <c r="G196" s="1">
        <v>44469</v>
      </c>
      <c r="H196" s="2">
        <v>44927</v>
      </c>
    </row>
    <row r="197" spans="1:8" hidden="1" x14ac:dyDescent="0.45">
      <c r="A197">
        <v>195</v>
      </c>
      <c r="B197" t="s">
        <v>8</v>
      </c>
      <c r="C197" s="3">
        <v>3731984.7349193301</v>
      </c>
      <c r="D197" s="3">
        <v>548746.16</v>
      </c>
      <c r="E197" s="3">
        <v>1659641.6394128001</v>
      </c>
      <c r="F197" s="3">
        <v>6098580.22984007</v>
      </c>
      <c r="G197" s="1">
        <v>44469</v>
      </c>
      <c r="H197" s="2">
        <v>44958</v>
      </c>
    </row>
    <row r="198" spans="1:8" hidden="1" x14ac:dyDescent="0.45">
      <c r="A198">
        <v>196</v>
      </c>
      <c r="B198" t="s">
        <v>8</v>
      </c>
      <c r="C198" s="3">
        <v>3559535.87905053</v>
      </c>
      <c r="D198" s="3">
        <v>330049.84999999998</v>
      </c>
      <c r="E198" s="3">
        <v>1350217.2554301701</v>
      </c>
      <c r="F198" s="3">
        <v>6155347.6587088499</v>
      </c>
      <c r="G198" s="1">
        <v>44469</v>
      </c>
      <c r="H198" s="2">
        <v>44986</v>
      </c>
    </row>
    <row r="199" spans="1:8" hidden="1" x14ac:dyDescent="0.45">
      <c r="A199">
        <v>197</v>
      </c>
      <c r="B199" t="s">
        <v>8</v>
      </c>
      <c r="C199" s="3">
        <v>3223881.12975888</v>
      </c>
      <c r="D199" s="3">
        <v>579308.43000000005</v>
      </c>
      <c r="E199" s="3">
        <v>1231161.2879432801</v>
      </c>
      <c r="F199" s="3">
        <v>5715968.4196800701</v>
      </c>
      <c r="G199" s="1">
        <v>44469</v>
      </c>
      <c r="H199" s="2">
        <v>45017</v>
      </c>
    </row>
    <row r="200" spans="1:8" hidden="1" x14ac:dyDescent="0.45">
      <c r="A200">
        <v>198</v>
      </c>
      <c r="B200" t="s">
        <v>8</v>
      </c>
      <c r="C200" s="3">
        <v>5703298.6347846603</v>
      </c>
      <c r="D200" s="3">
        <v>531074.64999999898</v>
      </c>
      <c r="E200" s="3">
        <v>2870428.3460570001</v>
      </c>
      <c r="F200" s="3">
        <v>8760177.2699694894</v>
      </c>
      <c r="G200" s="1">
        <v>44469</v>
      </c>
      <c r="H200" s="2">
        <v>45047</v>
      </c>
    </row>
    <row r="201" spans="1:8" hidden="1" x14ac:dyDescent="0.45">
      <c r="A201">
        <v>199</v>
      </c>
      <c r="B201" t="s">
        <v>8</v>
      </c>
      <c r="C201" s="3">
        <v>12004080.238944801</v>
      </c>
      <c r="D201" s="3">
        <v>495779.68</v>
      </c>
      <c r="E201" s="3">
        <v>7620736.7772864196</v>
      </c>
      <c r="F201" s="3">
        <v>16803272.2059961</v>
      </c>
      <c r="G201" s="1">
        <v>44469</v>
      </c>
      <c r="H201" s="2">
        <v>45078</v>
      </c>
    </row>
    <row r="202" spans="1:8" hidden="1" x14ac:dyDescent="0.45">
      <c r="A202">
        <v>200</v>
      </c>
      <c r="B202" t="s">
        <v>8</v>
      </c>
      <c r="C202" s="3">
        <v>13689186.9761615</v>
      </c>
      <c r="D202" s="3">
        <v>518431.73</v>
      </c>
      <c r="E202" s="3">
        <v>8714200.7678708602</v>
      </c>
      <c r="F202" s="3">
        <v>19123563.153538</v>
      </c>
      <c r="G202" s="1">
        <v>44469</v>
      </c>
      <c r="H202" s="2">
        <v>45108</v>
      </c>
    </row>
    <row r="203" spans="1:8" hidden="1" x14ac:dyDescent="0.45">
      <c r="A203">
        <v>201</v>
      </c>
      <c r="B203" t="s">
        <v>8</v>
      </c>
      <c r="C203" s="3">
        <v>6691938.9880534001</v>
      </c>
      <c r="D203" s="3">
        <v>535818.05999999901</v>
      </c>
      <c r="E203" s="3">
        <v>3794937.0278172102</v>
      </c>
      <c r="F203" s="3">
        <v>9781323.4472049009</v>
      </c>
      <c r="G203" s="1">
        <v>44469</v>
      </c>
      <c r="H203" s="2">
        <v>45139</v>
      </c>
    </row>
    <row r="204" spans="1:8" hidden="1" x14ac:dyDescent="0.45">
      <c r="A204">
        <v>202</v>
      </c>
      <c r="B204" t="s">
        <v>8</v>
      </c>
      <c r="C204" s="3">
        <v>9907664.0313863494</v>
      </c>
      <c r="D204" s="3">
        <v>554726.86</v>
      </c>
      <c r="E204" s="3">
        <v>6039980.1985251401</v>
      </c>
      <c r="F204" s="3">
        <v>14134994.0202369</v>
      </c>
      <c r="G204" s="1">
        <v>44469</v>
      </c>
      <c r="H204" s="2">
        <v>45170</v>
      </c>
    </row>
    <row r="205" spans="1:8" hidden="1" x14ac:dyDescent="0.45">
      <c r="A205">
        <v>203</v>
      </c>
      <c r="B205" t="s">
        <v>8</v>
      </c>
      <c r="C205" s="3">
        <v>8744925.51043492</v>
      </c>
      <c r="D205" s="3">
        <v>509040.95</v>
      </c>
      <c r="E205" s="3">
        <v>3344809.61646961</v>
      </c>
      <c r="F205" s="3">
        <v>15010781.879431</v>
      </c>
      <c r="G205" s="1">
        <v>44469</v>
      </c>
      <c r="H205" s="2">
        <v>45200</v>
      </c>
    </row>
    <row r="206" spans="1:8" hidden="1" x14ac:dyDescent="0.45">
      <c r="A206">
        <v>204</v>
      </c>
      <c r="B206" t="s">
        <v>8</v>
      </c>
      <c r="C206" s="3">
        <v>9353461.8134661596</v>
      </c>
      <c r="D206" s="3">
        <v>742968.59</v>
      </c>
      <c r="E206" s="3">
        <v>3610372.8283592998</v>
      </c>
      <c r="F206" s="3">
        <v>16191780.977393501</v>
      </c>
      <c r="G206" s="1">
        <v>44469</v>
      </c>
      <c r="H206" s="2">
        <v>45231</v>
      </c>
    </row>
    <row r="207" spans="1:8" hidden="1" x14ac:dyDescent="0.45">
      <c r="A207">
        <v>205</v>
      </c>
      <c r="B207" t="s">
        <v>8</v>
      </c>
      <c r="C207" s="3">
        <v>9993474.5468524992</v>
      </c>
      <c r="D207" s="3">
        <v>344260.05</v>
      </c>
      <c r="E207" s="3">
        <v>3890577.97951341</v>
      </c>
      <c r="F207" s="3">
        <v>17414917.290537901</v>
      </c>
      <c r="G207" s="1">
        <v>44469</v>
      </c>
      <c r="H207" s="2">
        <v>45261</v>
      </c>
    </row>
    <row r="208" spans="1:8" hidden="1" x14ac:dyDescent="0.45">
      <c r="A208">
        <v>206</v>
      </c>
      <c r="B208" t="s">
        <v>8</v>
      </c>
      <c r="C208" s="3">
        <v>10692492.565251</v>
      </c>
      <c r="D208" s="3">
        <v>587660.179999999</v>
      </c>
      <c r="E208" s="3">
        <v>3992536.7034424902</v>
      </c>
      <c r="F208" s="3">
        <v>18608670.305576298</v>
      </c>
      <c r="G208" s="1">
        <v>44469</v>
      </c>
      <c r="H208" s="2">
        <v>45292</v>
      </c>
    </row>
    <row r="209" spans="1:8" hidden="1" x14ac:dyDescent="0.45">
      <c r="A209">
        <v>207</v>
      </c>
      <c r="B209" t="s">
        <v>8</v>
      </c>
      <c r="C209" s="3">
        <v>8277656.2681863504</v>
      </c>
      <c r="D209" s="3">
        <v>364037.17</v>
      </c>
      <c r="E209" s="3">
        <v>3245977.2867282</v>
      </c>
      <c r="F209" s="3">
        <v>14219871.5933122</v>
      </c>
      <c r="G209" s="1">
        <v>44469</v>
      </c>
      <c r="H209" s="2">
        <v>45323</v>
      </c>
    </row>
    <row r="210" spans="1:8" hidden="1" x14ac:dyDescent="0.45">
      <c r="A210">
        <v>208</v>
      </c>
      <c r="B210" t="s">
        <v>8</v>
      </c>
      <c r="C210" s="3">
        <v>7932541.9842358297</v>
      </c>
      <c r="D210" s="3">
        <v>371866.78</v>
      </c>
      <c r="E210" s="3">
        <v>2514777.39328046</v>
      </c>
      <c r="F210" s="3">
        <v>14178874.8301757</v>
      </c>
      <c r="G210" s="1">
        <v>44469</v>
      </c>
      <c r="H210" s="2">
        <v>45352</v>
      </c>
    </row>
    <row r="211" spans="1:8" hidden="1" x14ac:dyDescent="0.45">
      <c r="A211">
        <v>209</v>
      </c>
      <c r="B211" t="s">
        <v>8</v>
      </c>
      <c r="C211" s="3">
        <v>7184764.2615695698</v>
      </c>
      <c r="D211" s="3">
        <v>555315.82999999996</v>
      </c>
      <c r="E211" s="3">
        <v>2404921.13039413</v>
      </c>
      <c r="F211" s="3">
        <v>13192417.4137275</v>
      </c>
      <c r="G211" s="1">
        <v>44469</v>
      </c>
      <c r="H211" s="2">
        <v>45383</v>
      </c>
    </row>
    <row r="212" spans="1:8" hidden="1" x14ac:dyDescent="0.45">
      <c r="A212">
        <v>210</v>
      </c>
      <c r="B212" t="s">
        <v>8</v>
      </c>
      <c r="C212" s="3">
        <v>12712120.002316499</v>
      </c>
      <c r="D212" s="3">
        <v>289096.51999999897</v>
      </c>
      <c r="E212" s="3">
        <v>5552398.8837873796</v>
      </c>
      <c r="F212" s="3">
        <v>20821117.218449801</v>
      </c>
      <c r="G212" s="1">
        <v>44469</v>
      </c>
      <c r="H212" s="2">
        <v>45413</v>
      </c>
    </row>
    <row r="213" spans="1:8" hidden="1" x14ac:dyDescent="0.45">
      <c r="A213">
        <v>211</v>
      </c>
      <c r="B213" t="s">
        <v>8</v>
      </c>
      <c r="C213" s="3">
        <v>26731580.299084</v>
      </c>
      <c r="D213" s="3">
        <v>343306.8</v>
      </c>
      <c r="E213" s="3">
        <v>14292695.930986401</v>
      </c>
      <c r="F213" s="3">
        <v>40730899.062403202</v>
      </c>
      <c r="G213" s="1">
        <v>44469</v>
      </c>
      <c r="H213" s="2">
        <v>45444</v>
      </c>
    </row>
    <row r="214" spans="1:8" hidden="1" x14ac:dyDescent="0.45">
      <c r="A214">
        <v>212</v>
      </c>
      <c r="B214" t="s">
        <v>8</v>
      </c>
      <c r="C214" s="3">
        <v>30512268.496995602</v>
      </c>
      <c r="D214" s="3">
        <v>349209.04</v>
      </c>
      <c r="E214" s="3">
        <v>16178424.7514298</v>
      </c>
      <c r="F214" s="3">
        <v>46524079.534151703</v>
      </c>
      <c r="G214" s="1">
        <v>44469</v>
      </c>
      <c r="H214" s="2">
        <v>45474</v>
      </c>
    </row>
    <row r="215" spans="1:8" hidden="1" x14ac:dyDescent="0.45">
      <c r="A215">
        <v>213</v>
      </c>
      <c r="B215" t="s">
        <v>8</v>
      </c>
      <c r="C215" s="3">
        <v>14918413.908123299</v>
      </c>
      <c r="D215" s="3">
        <v>318360.46000000002</v>
      </c>
      <c r="E215" s="3">
        <v>7229125.9555973299</v>
      </c>
      <c r="F215" s="3">
        <v>23610921.070832599</v>
      </c>
      <c r="G215" s="1">
        <v>44469</v>
      </c>
      <c r="H215" s="2">
        <v>45505</v>
      </c>
    </row>
    <row r="216" spans="1:8" hidden="1" x14ac:dyDescent="0.45">
      <c r="A216">
        <v>214</v>
      </c>
      <c r="B216" t="s">
        <v>8</v>
      </c>
      <c r="C216" s="3">
        <v>22102987.907740001</v>
      </c>
      <c r="D216" s="3">
        <v>594907.75</v>
      </c>
      <c r="E216" s="3">
        <v>11160593.349361699</v>
      </c>
      <c r="F216" s="3">
        <v>34286516.306640603</v>
      </c>
      <c r="G216" s="1">
        <v>44469</v>
      </c>
      <c r="H216" s="2">
        <v>45536</v>
      </c>
    </row>
    <row r="217" spans="1:8" hidden="1" x14ac:dyDescent="0.45">
      <c r="A217">
        <v>215</v>
      </c>
      <c r="B217" t="s">
        <v>8</v>
      </c>
      <c r="C217" s="3">
        <v>19518269.007803399</v>
      </c>
      <c r="D217" s="3">
        <v>250174.67</v>
      </c>
      <c r="E217" s="3">
        <v>6343146.1864307802</v>
      </c>
      <c r="F217" s="3">
        <v>35146740.468349501</v>
      </c>
      <c r="G217" s="1">
        <v>44469</v>
      </c>
      <c r="H217" s="2">
        <v>45566</v>
      </c>
    </row>
    <row r="218" spans="1:8" hidden="1" x14ac:dyDescent="0.45">
      <c r="A218">
        <v>216</v>
      </c>
      <c r="B218" t="s">
        <v>8</v>
      </c>
      <c r="C218" s="3">
        <v>20906865.1350668</v>
      </c>
      <c r="D218" s="3"/>
      <c r="E218" s="3">
        <v>6793419.7431368902</v>
      </c>
      <c r="F218" s="3">
        <v>38019470.291898698</v>
      </c>
      <c r="G218" s="1">
        <v>44469</v>
      </c>
      <c r="H218" s="2">
        <v>45597</v>
      </c>
    </row>
    <row r="219" spans="1:8" hidden="1" x14ac:dyDescent="0.45">
      <c r="A219">
        <v>217</v>
      </c>
      <c r="B219" t="s">
        <v>8</v>
      </c>
      <c r="C219" s="3">
        <v>22337105.291807901</v>
      </c>
      <c r="D219" s="3"/>
      <c r="E219" s="3">
        <v>7350169.4482300403</v>
      </c>
      <c r="F219" s="3">
        <v>40993164.509375803</v>
      </c>
      <c r="G219" s="1">
        <v>44469</v>
      </c>
      <c r="H219" s="2">
        <v>45627</v>
      </c>
    </row>
    <row r="220" spans="1:8" hidden="1" x14ac:dyDescent="0.45">
      <c r="A220">
        <v>218</v>
      </c>
      <c r="B220" t="s">
        <v>8</v>
      </c>
      <c r="C220" s="3">
        <v>23922805.800905101</v>
      </c>
      <c r="D220" s="3"/>
      <c r="E220" s="3">
        <v>7440644.6958797202</v>
      </c>
      <c r="F220" s="3">
        <v>43814006.017390497</v>
      </c>
      <c r="G220" s="1">
        <v>44469</v>
      </c>
      <c r="H220" s="2">
        <v>45658</v>
      </c>
    </row>
    <row r="221" spans="1:8" hidden="1" x14ac:dyDescent="0.45">
      <c r="A221">
        <v>219</v>
      </c>
      <c r="B221" t="s">
        <v>8</v>
      </c>
      <c r="C221" s="3">
        <v>18546197.754353501</v>
      </c>
      <c r="D221" s="3"/>
      <c r="E221" s="3">
        <v>6336986.9073704705</v>
      </c>
      <c r="F221" s="3">
        <v>33837437.530152403</v>
      </c>
      <c r="G221" s="1">
        <v>44469</v>
      </c>
      <c r="H221" s="2">
        <v>45689</v>
      </c>
    </row>
    <row r="222" spans="1:8" hidden="1" x14ac:dyDescent="0.45">
      <c r="A222">
        <v>220</v>
      </c>
      <c r="B222" t="s">
        <v>8</v>
      </c>
      <c r="C222" s="3">
        <v>17756644.206707701</v>
      </c>
      <c r="D222" s="3"/>
      <c r="E222" s="3">
        <v>4696630.2060806397</v>
      </c>
      <c r="F222" s="3">
        <v>33509808.086042199</v>
      </c>
      <c r="G222" s="1">
        <v>44469</v>
      </c>
      <c r="H222" s="2">
        <v>45717</v>
      </c>
    </row>
    <row r="223" spans="1:8" hidden="1" x14ac:dyDescent="0.45">
      <c r="A223">
        <v>221</v>
      </c>
      <c r="B223" t="s">
        <v>8</v>
      </c>
      <c r="C223" s="3">
        <v>16100240.480929101</v>
      </c>
      <c r="D223" s="3"/>
      <c r="E223" s="3">
        <v>4664762.6193554699</v>
      </c>
      <c r="F223" s="3">
        <v>31006019.8909644</v>
      </c>
      <c r="G223" s="1">
        <v>44469</v>
      </c>
      <c r="H223" s="2">
        <v>45748</v>
      </c>
    </row>
    <row r="224" spans="1:8" hidden="1" x14ac:dyDescent="0.45">
      <c r="A224">
        <v>222</v>
      </c>
      <c r="B224" t="s">
        <v>8</v>
      </c>
      <c r="C224" s="3">
        <v>28506271.369115401</v>
      </c>
      <c r="D224" s="3"/>
      <c r="E224" s="3">
        <v>10017974.0739973</v>
      </c>
      <c r="F224" s="3">
        <v>50082166.8352139</v>
      </c>
      <c r="G224" s="1">
        <v>44469</v>
      </c>
      <c r="H224" s="2">
        <v>45778</v>
      </c>
    </row>
    <row r="225" spans="1:8" hidden="1" x14ac:dyDescent="0.45">
      <c r="A225">
        <v>223</v>
      </c>
      <c r="B225" t="s">
        <v>8</v>
      </c>
      <c r="C225" s="3">
        <v>59836317.544828102</v>
      </c>
      <c r="D225" s="3"/>
      <c r="E225" s="3">
        <v>26342382.454348899</v>
      </c>
      <c r="F225" s="3">
        <v>100343002.85031299</v>
      </c>
      <c r="G225" s="1">
        <v>44469</v>
      </c>
      <c r="H225" s="2">
        <v>45809</v>
      </c>
    </row>
    <row r="226" spans="1:8" hidden="1" x14ac:dyDescent="0.45">
      <c r="A226">
        <v>224</v>
      </c>
      <c r="B226" t="s">
        <v>8</v>
      </c>
      <c r="C226" s="3">
        <v>68373476.007129401</v>
      </c>
      <c r="D226" s="3"/>
      <c r="E226" s="3">
        <v>29287041.086110801</v>
      </c>
      <c r="F226" s="3">
        <v>114726008.23905</v>
      </c>
      <c r="G226" s="1">
        <v>44469</v>
      </c>
      <c r="H226" s="2">
        <v>45839</v>
      </c>
    </row>
    <row r="227" spans="1:8" hidden="1" x14ac:dyDescent="0.45">
      <c r="A227">
        <v>225</v>
      </c>
      <c r="B227" t="s">
        <v>8</v>
      </c>
      <c r="C227" s="3">
        <v>33447559.4760691</v>
      </c>
      <c r="D227" s="3"/>
      <c r="E227" s="3">
        <v>13229384.910001401</v>
      </c>
      <c r="F227" s="3">
        <v>57772008.182124197</v>
      </c>
      <c r="G227" s="1">
        <v>44469</v>
      </c>
      <c r="H227" s="2">
        <v>45870</v>
      </c>
    </row>
    <row r="228" spans="1:8" hidden="1" x14ac:dyDescent="0.45">
      <c r="A228">
        <v>226</v>
      </c>
      <c r="B228" t="s">
        <v>8</v>
      </c>
      <c r="C228" s="3">
        <v>49569004.439696603</v>
      </c>
      <c r="D228" s="3"/>
      <c r="E228" s="3">
        <v>19685241.979898401</v>
      </c>
      <c r="F228" s="3">
        <v>83772974.847796202</v>
      </c>
      <c r="G228" s="1">
        <v>44469</v>
      </c>
      <c r="H228" s="2">
        <v>45901</v>
      </c>
    </row>
    <row r="229" spans="1:8" hidden="1" x14ac:dyDescent="0.45">
      <c r="A229">
        <v>227</v>
      </c>
      <c r="B229" t="s">
        <v>8</v>
      </c>
      <c r="C229" s="3">
        <v>43837965.737915203</v>
      </c>
      <c r="D229" s="3"/>
      <c r="E229" s="3">
        <v>11388892.278678101</v>
      </c>
      <c r="F229" s="3">
        <v>83930111.621628001</v>
      </c>
      <c r="G229" s="1">
        <v>44469</v>
      </c>
      <c r="H229" s="2">
        <v>45931</v>
      </c>
    </row>
    <row r="230" spans="1:8" hidden="1" x14ac:dyDescent="0.45">
      <c r="A230">
        <v>228</v>
      </c>
      <c r="B230" t="s">
        <v>7</v>
      </c>
      <c r="C230" s="3">
        <v>69227.331316534299</v>
      </c>
      <c r="D230" s="3">
        <v>28250.62</v>
      </c>
      <c r="E230" s="3">
        <v>35750.399274754302</v>
      </c>
      <c r="F230" s="3">
        <v>108596.720483242</v>
      </c>
      <c r="G230" s="1">
        <v>44500</v>
      </c>
      <c r="H230" s="2">
        <v>44228</v>
      </c>
    </row>
    <row r="231" spans="1:8" hidden="1" x14ac:dyDescent="0.45">
      <c r="A231">
        <v>229</v>
      </c>
      <c r="B231" t="s">
        <v>7</v>
      </c>
      <c r="C231" s="3">
        <v>80132.682329862204</v>
      </c>
      <c r="D231" s="3">
        <v>36247.919999999998</v>
      </c>
      <c r="E231" s="3">
        <v>41977.303096151903</v>
      </c>
      <c r="F231" s="3">
        <v>125668.98053863901</v>
      </c>
      <c r="G231" s="1">
        <v>44500</v>
      </c>
      <c r="H231" s="2">
        <v>44256</v>
      </c>
    </row>
    <row r="232" spans="1:8" hidden="1" x14ac:dyDescent="0.45">
      <c r="A232">
        <v>230</v>
      </c>
      <c r="B232" t="s">
        <v>7</v>
      </c>
      <c r="C232" s="3">
        <v>82530.599284635202</v>
      </c>
      <c r="D232" s="3">
        <v>14721.48</v>
      </c>
      <c r="E232" s="3">
        <v>39955.220546193799</v>
      </c>
      <c r="F232" s="3">
        <v>131446.20316418499</v>
      </c>
      <c r="G232" s="1">
        <v>44500</v>
      </c>
      <c r="H232" s="2">
        <v>44287</v>
      </c>
    </row>
    <row r="233" spans="1:8" hidden="1" x14ac:dyDescent="0.45">
      <c r="A233">
        <v>231</v>
      </c>
      <c r="B233" t="s">
        <v>7</v>
      </c>
      <c r="C233" s="3">
        <v>193996.12002700201</v>
      </c>
      <c r="D233" s="3">
        <v>94346.71</v>
      </c>
      <c r="E233" s="3">
        <v>120622.312058062</v>
      </c>
      <c r="F233" s="3">
        <v>268540.24493421498</v>
      </c>
      <c r="G233" s="1">
        <v>44500</v>
      </c>
      <c r="H233" s="2">
        <v>44317</v>
      </c>
    </row>
    <row r="234" spans="1:8" hidden="1" x14ac:dyDescent="0.45">
      <c r="A234">
        <v>232</v>
      </c>
      <c r="B234" t="s">
        <v>7</v>
      </c>
      <c r="C234" s="3">
        <v>766872.99877827696</v>
      </c>
      <c r="D234" s="3">
        <v>970740.72</v>
      </c>
      <c r="E234" s="3">
        <v>605267.81403514498</v>
      </c>
      <c r="F234" s="3">
        <v>934584.43745346798</v>
      </c>
      <c r="G234" s="1">
        <v>44500</v>
      </c>
      <c r="H234" s="2">
        <v>44348</v>
      </c>
    </row>
    <row r="235" spans="1:8" hidden="1" x14ac:dyDescent="0.45">
      <c r="A235">
        <v>233</v>
      </c>
      <c r="B235" t="s">
        <v>7</v>
      </c>
      <c r="C235" s="3">
        <v>1679415.5995004899</v>
      </c>
      <c r="D235" s="3">
        <v>1798271.24</v>
      </c>
      <c r="E235" s="3">
        <v>1421468.3704083301</v>
      </c>
      <c r="F235" s="3">
        <v>1936192.94881979</v>
      </c>
      <c r="G235" s="1">
        <v>44500</v>
      </c>
      <c r="H235" s="2">
        <v>44378</v>
      </c>
    </row>
    <row r="236" spans="1:8" hidden="1" x14ac:dyDescent="0.45">
      <c r="A236">
        <v>234</v>
      </c>
      <c r="B236" t="s">
        <v>7</v>
      </c>
      <c r="C236" s="3">
        <v>884315.000335766</v>
      </c>
      <c r="D236" s="3">
        <v>700449.31</v>
      </c>
      <c r="E236" s="3">
        <v>674044.89663275995</v>
      </c>
      <c r="F236" s="3">
        <v>1097088.9537917599</v>
      </c>
      <c r="G236" s="1">
        <v>44500</v>
      </c>
      <c r="H236" s="2">
        <v>44409</v>
      </c>
    </row>
    <row r="237" spans="1:8" hidden="1" x14ac:dyDescent="0.45">
      <c r="A237">
        <v>235</v>
      </c>
      <c r="B237" t="s">
        <v>7</v>
      </c>
      <c r="C237" s="3">
        <v>1484377.53006277</v>
      </c>
      <c r="D237" s="3">
        <v>1784906.52</v>
      </c>
      <c r="E237" s="3">
        <v>1202553.5053087601</v>
      </c>
      <c r="F237" s="3">
        <v>1777387.9420666699</v>
      </c>
      <c r="G237" s="1">
        <v>44500</v>
      </c>
      <c r="H237" s="2">
        <v>44440</v>
      </c>
    </row>
    <row r="238" spans="1:8" hidden="1" x14ac:dyDescent="0.45">
      <c r="A238">
        <v>236</v>
      </c>
      <c r="B238" t="s">
        <v>7</v>
      </c>
      <c r="C238" s="3">
        <v>903581.38561939797</v>
      </c>
      <c r="D238" s="3">
        <v>706422.77</v>
      </c>
      <c r="E238" s="3">
        <v>681478.05073055904</v>
      </c>
      <c r="F238" s="3">
        <v>1137889.33005674</v>
      </c>
      <c r="G238" s="1">
        <v>44500</v>
      </c>
      <c r="H238" s="2">
        <v>44470</v>
      </c>
    </row>
    <row r="239" spans="1:8" hidden="1" x14ac:dyDescent="0.45">
      <c r="A239">
        <v>237</v>
      </c>
      <c r="B239" t="s">
        <v>8</v>
      </c>
      <c r="C239" s="3">
        <v>1325978.3120606299</v>
      </c>
      <c r="D239" s="3">
        <v>2938546.08</v>
      </c>
      <c r="E239" s="3">
        <v>508789.671443164</v>
      </c>
      <c r="F239" s="3">
        <v>2324242.8088604501</v>
      </c>
      <c r="G239" s="1">
        <v>44500</v>
      </c>
      <c r="H239" s="2">
        <v>44501</v>
      </c>
    </row>
    <row r="240" spans="1:8" hidden="1" x14ac:dyDescent="0.45">
      <c r="A240">
        <v>238</v>
      </c>
      <c r="B240" t="s">
        <v>8</v>
      </c>
      <c r="C240" s="3">
        <v>1374353.3186529099</v>
      </c>
      <c r="D240" s="3">
        <v>141730.26999999999</v>
      </c>
      <c r="E240" s="3">
        <v>510939.31781762902</v>
      </c>
      <c r="F240" s="3">
        <v>2396480.0636235699</v>
      </c>
      <c r="G240" s="1">
        <v>44500</v>
      </c>
      <c r="H240" s="2">
        <v>44531</v>
      </c>
    </row>
    <row r="241" spans="1:8" hidden="1" x14ac:dyDescent="0.45">
      <c r="A241">
        <v>239</v>
      </c>
      <c r="B241" t="s">
        <v>8</v>
      </c>
      <c r="C241" s="3">
        <v>1425174.48168304</v>
      </c>
      <c r="D241" s="3">
        <v>998205.39</v>
      </c>
      <c r="E241" s="3">
        <v>534362.75070736394</v>
      </c>
      <c r="F241" s="3">
        <v>2505449.72004946</v>
      </c>
      <c r="G241" s="1">
        <v>44500</v>
      </c>
      <c r="H241" s="2">
        <v>44562</v>
      </c>
    </row>
    <row r="242" spans="1:8" hidden="1" x14ac:dyDescent="0.45">
      <c r="A242">
        <v>240</v>
      </c>
      <c r="B242" t="s">
        <v>8</v>
      </c>
      <c r="C242" s="3">
        <v>984287.98465699097</v>
      </c>
      <c r="D242" s="3">
        <v>769049.23</v>
      </c>
      <c r="E242" s="3">
        <v>377851.60631372803</v>
      </c>
      <c r="F242" s="3">
        <v>1649972.17034104</v>
      </c>
      <c r="G242" s="1">
        <v>44500</v>
      </c>
      <c r="H242" s="2">
        <v>44593</v>
      </c>
    </row>
    <row r="243" spans="1:8" hidden="1" x14ac:dyDescent="0.45">
      <c r="A243">
        <v>241</v>
      </c>
      <c r="B243" t="s">
        <v>8</v>
      </c>
      <c r="C243" s="3">
        <v>820986.80258138594</v>
      </c>
      <c r="D243" s="3">
        <v>1908896</v>
      </c>
      <c r="E243" s="3">
        <v>371152.89747642702</v>
      </c>
      <c r="F243" s="3">
        <v>1360532.9594232801</v>
      </c>
      <c r="G243" s="1">
        <v>44500</v>
      </c>
      <c r="H243" s="2">
        <v>44621</v>
      </c>
    </row>
    <row r="244" spans="1:8" hidden="1" x14ac:dyDescent="0.45">
      <c r="A244">
        <v>242</v>
      </c>
      <c r="B244" t="s">
        <v>8</v>
      </c>
      <c r="C244" s="3">
        <v>743764.751112781</v>
      </c>
      <c r="D244" s="3">
        <v>61627.63</v>
      </c>
      <c r="E244" s="3">
        <v>332405.477248215</v>
      </c>
      <c r="F244" s="3">
        <v>1252325.3542893899</v>
      </c>
      <c r="G244" s="1">
        <v>44500</v>
      </c>
      <c r="H244" s="2">
        <v>44652</v>
      </c>
    </row>
    <row r="245" spans="1:8" hidden="1" x14ac:dyDescent="0.45">
      <c r="A245">
        <v>243</v>
      </c>
      <c r="B245" t="s">
        <v>8</v>
      </c>
      <c r="C245" s="3">
        <v>1336479.39622732</v>
      </c>
      <c r="D245" s="3">
        <v>416989.53</v>
      </c>
      <c r="E245" s="3">
        <v>727702.60008195997</v>
      </c>
      <c r="F245" s="3">
        <v>2030873.90368581</v>
      </c>
      <c r="G245" s="1">
        <v>44500</v>
      </c>
      <c r="H245" s="2">
        <v>44682</v>
      </c>
    </row>
    <row r="246" spans="1:8" hidden="1" x14ac:dyDescent="0.45">
      <c r="A246">
        <v>244</v>
      </c>
      <c r="B246" t="s">
        <v>8</v>
      </c>
      <c r="C246" s="3">
        <v>2902340.39766237</v>
      </c>
      <c r="D246" s="3">
        <v>1014241.55</v>
      </c>
      <c r="E246" s="3">
        <v>2009580.2705731599</v>
      </c>
      <c r="F246" s="3">
        <v>3807302.3940942399</v>
      </c>
      <c r="G246" s="1">
        <v>44500</v>
      </c>
      <c r="H246" s="2">
        <v>44713</v>
      </c>
    </row>
    <row r="247" spans="1:8" hidden="1" x14ac:dyDescent="0.45">
      <c r="A247">
        <v>245</v>
      </c>
      <c r="B247" t="s">
        <v>8</v>
      </c>
      <c r="C247" s="3">
        <v>3268663.4942045701</v>
      </c>
      <c r="D247" s="3">
        <v>534608.74</v>
      </c>
      <c r="E247" s="3">
        <v>2324134.9077540101</v>
      </c>
      <c r="F247" s="3">
        <v>4247835.4403857496</v>
      </c>
      <c r="G247" s="1">
        <v>44500</v>
      </c>
      <c r="H247" s="2">
        <v>44743</v>
      </c>
    </row>
    <row r="248" spans="1:8" hidden="1" x14ac:dyDescent="0.45">
      <c r="A248">
        <v>246</v>
      </c>
      <c r="B248" t="s">
        <v>8</v>
      </c>
      <c r="C248" s="3">
        <v>1449866.54809483</v>
      </c>
      <c r="D248" s="3">
        <v>864306.71</v>
      </c>
      <c r="E248" s="3">
        <v>930662.71406837704</v>
      </c>
      <c r="F248" s="3">
        <v>2043083.1982579101</v>
      </c>
      <c r="G248" s="1">
        <v>44500</v>
      </c>
      <c r="H248" s="2">
        <v>44774</v>
      </c>
    </row>
    <row r="249" spans="1:8" hidden="1" x14ac:dyDescent="0.45">
      <c r="A249">
        <v>247</v>
      </c>
      <c r="B249" t="s">
        <v>8</v>
      </c>
      <c r="C249" s="3">
        <v>2102945.2434326801</v>
      </c>
      <c r="D249" s="3">
        <v>607329.93999999994</v>
      </c>
      <c r="E249" s="3">
        <v>1483325.30815539</v>
      </c>
      <c r="F249" s="3">
        <v>2764549.7729819799</v>
      </c>
      <c r="G249" s="1">
        <v>44500</v>
      </c>
      <c r="H249" s="2">
        <v>44805</v>
      </c>
    </row>
    <row r="250" spans="1:8" hidden="1" x14ac:dyDescent="0.45">
      <c r="A250">
        <v>248</v>
      </c>
      <c r="B250" t="s">
        <v>8</v>
      </c>
      <c r="C250" s="3">
        <v>1154705.15083062</v>
      </c>
      <c r="D250" s="3">
        <v>552709.78</v>
      </c>
      <c r="E250" s="3">
        <v>751385.64312641905</v>
      </c>
      <c r="F250" s="3">
        <v>1587958.8798799</v>
      </c>
      <c r="G250" s="1">
        <v>44500</v>
      </c>
      <c r="H250" s="2">
        <v>44835</v>
      </c>
    </row>
    <row r="251" spans="1:8" hidden="1" x14ac:dyDescent="0.45">
      <c r="A251">
        <v>249</v>
      </c>
      <c r="B251" t="s">
        <v>8</v>
      </c>
      <c r="C251" s="3">
        <v>1589577.66367563</v>
      </c>
      <c r="D251" s="3">
        <v>1014556.38</v>
      </c>
      <c r="E251" s="3">
        <v>612458.51351105503</v>
      </c>
      <c r="F251" s="3">
        <v>2851403.2274556402</v>
      </c>
      <c r="G251" s="1">
        <v>44500</v>
      </c>
      <c r="H251" s="2">
        <v>44866</v>
      </c>
    </row>
    <row r="252" spans="1:8" hidden="1" x14ac:dyDescent="0.45">
      <c r="A252">
        <v>250</v>
      </c>
      <c r="B252" t="s">
        <v>8</v>
      </c>
      <c r="C252" s="3">
        <v>1602228.9430205801</v>
      </c>
      <c r="D252" s="3">
        <v>209496.51</v>
      </c>
      <c r="E252" s="3">
        <v>576766.77448162099</v>
      </c>
      <c r="F252" s="3">
        <v>2848667.4719211399</v>
      </c>
      <c r="G252" s="1">
        <v>44500</v>
      </c>
      <c r="H252" s="2">
        <v>44896</v>
      </c>
    </row>
    <row r="253" spans="1:8" hidden="1" x14ac:dyDescent="0.45">
      <c r="A253">
        <v>251</v>
      </c>
      <c r="B253" t="s">
        <v>8</v>
      </c>
      <c r="C253" s="3">
        <v>1615718.0639519501</v>
      </c>
      <c r="D253" s="3">
        <v>630901.09</v>
      </c>
      <c r="E253" s="3">
        <v>579657.90788580501</v>
      </c>
      <c r="F253" s="3">
        <v>2882674.0552708702</v>
      </c>
      <c r="G253" s="1">
        <v>44500</v>
      </c>
      <c r="H253" s="2">
        <v>44927</v>
      </c>
    </row>
    <row r="254" spans="1:8" hidden="1" x14ac:dyDescent="0.45">
      <c r="A254">
        <v>252</v>
      </c>
      <c r="B254" t="s">
        <v>8</v>
      </c>
      <c r="C254" s="3">
        <v>1102270.19496241</v>
      </c>
      <c r="D254" s="3">
        <v>594955.69999999995</v>
      </c>
      <c r="E254" s="3">
        <v>426895.73985063599</v>
      </c>
      <c r="F254" s="3">
        <v>1903901.8703399301</v>
      </c>
      <c r="G254" s="1">
        <v>44500</v>
      </c>
      <c r="H254" s="2">
        <v>44958</v>
      </c>
    </row>
    <row r="255" spans="1:8" hidden="1" x14ac:dyDescent="0.45">
      <c r="A255">
        <v>253</v>
      </c>
      <c r="B255" t="s">
        <v>8</v>
      </c>
      <c r="C255" s="3">
        <v>914006.689275724</v>
      </c>
      <c r="D255" s="3">
        <v>352372.35</v>
      </c>
      <c r="E255" s="3">
        <v>382288.47353215498</v>
      </c>
      <c r="F255" s="3">
        <v>1546031.27573547</v>
      </c>
      <c r="G255" s="1">
        <v>44500</v>
      </c>
      <c r="H255" s="2">
        <v>44986</v>
      </c>
    </row>
    <row r="256" spans="1:8" hidden="1" x14ac:dyDescent="0.45">
      <c r="A256">
        <v>254</v>
      </c>
      <c r="B256" t="s">
        <v>8</v>
      </c>
      <c r="C256" s="3">
        <v>821090.06149596802</v>
      </c>
      <c r="D256" s="3">
        <v>629971.54</v>
      </c>
      <c r="E256" s="3">
        <v>334814.30336843297</v>
      </c>
      <c r="F256" s="3">
        <v>1397669.25242033</v>
      </c>
      <c r="G256" s="1">
        <v>44500</v>
      </c>
      <c r="H256" s="2">
        <v>45017</v>
      </c>
    </row>
    <row r="257" spans="1:8" hidden="1" x14ac:dyDescent="0.45">
      <c r="A257">
        <v>255</v>
      </c>
      <c r="B257" t="s">
        <v>8</v>
      </c>
      <c r="C257" s="3">
        <v>1472272.07663415</v>
      </c>
      <c r="D257" s="3">
        <v>576236.12999999896</v>
      </c>
      <c r="E257" s="3">
        <v>749707.92030805198</v>
      </c>
      <c r="F257" s="3">
        <v>2286478.4227991002</v>
      </c>
      <c r="G257" s="1">
        <v>44500</v>
      </c>
      <c r="H257" s="2">
        <v>45047</v>
      </c>
    </row>
    <row r="258" spans="1:8" hidden="1" x14ac:dyDescent="0.45">
      <c r="A258">
        <v>256</v>
      </c>
      <c r="B258" t="s">
        <v>8</v>
      </c>
      <c r="C258" s="3">
        <v>3195512.8897677301</v>
      </c>
      <c r="D258" s="3">
        <v>540537.26</v>
      </c>
      <c r="E258" s="3">
        <v>2055138.31019332</v>
      </c>
      <c r="F258" s="3">
        <v>4423587.7485176399</v>
      </c>
      <c r="G258" s="1">
        <v>44500</v>
      </c>
      <c r="H258" s="2">
        <v>45078</v>
      </c>
    </row>
    <row r="259" spans="1:8" hidden="1" x14ac:dyDescent="0.45">
      <c r="A259">
        <v>257</v>
      </c>
      <c r="B259" t="s">
        <v>8</v>
      </c>
      <c r="C259" s="3">
        <v>3599877.30050448</v>
      </c>
      <c r="D259" s="3">
        <v>564776.11</v>
      </c>
      <c r="E259" s="3">
        <v>2361736.5441851402</v>
      </c>
      <c r="F259" s="3">
        <v>4940796.39821296</v>
      </c>
      <c r="G259" s="1">
        <v>44500</v>
      </c>
      <c r="H259" s="2">
        <v>45108</v>
      </c>
    </row>
    <row r="260" spans="1:8" hidden="1" x14ac:dyDescent="0.45">
      <c r="A260">
        <v>258</v>
      </c>
      <c r="B260" t="s">
        <v>8</v>
      </c>
      <c r="C260" s="3">
        <v>1598385.0761260299</v>
      </c>
      <c r="D260" s="3">
        <v>581575.32999999996</v>
      </c>
      <c r="E260" s="3">
        <v>948824.70356396597</v>
      </c>
      <c r="F260" s="3">
        <v>2354945.1157628801</v>
      </c>
      <c r="G260" s="1">
        <v>44500</v>
      </c>
      <c r="H260" s="2">
        <v>45139</v>
      </c>
    </row>
    <row r="261" spans="1:8" hidden="1" x14ac:dyDescent="0.45">
      <c r="A261">
        <v>259</v>
      </c>
      <c r="B261" t="s">
        <v>8</v>
      </c>
      <c r="C261" s="3">
        <v>2318571.7441090099</v>
      </c>
      <c r="D261" s="3">
        <v>612658.65</v>
      </c>
      <c r="E261" s="3">
        <v>1498466.1215328199</v>
      </c>
      <c r="F261" s="3">
        <v>3247054.9229774298</v>
      </c>
      <c r="G261" s="1">
        <v>44500</v>
      </c>
      <c r="H261" s="2">
        <v>45170</v>
      </c>
    </row>
    <row r="262" spans="1:8" hidden="1" x14ac:dyDescent="0.45">
      <c r="A262">
        <v>260</v>
      </c>
      <c r="B262" t="s">
        <v>8</v>
      </c>
      <c r="C262" s="3">
        <v>1273643.46043105</v>
      </c>
      <c r="D262" s="3">
        <v>555077.55000000005</v>
      </c>
      <c r="E262" s="3">
        <v>758423.34091260505</v>
      </c>
      <c r="F262" s="3">
        <v>1840475.8334043301</v>
      </c>
      <c r="G262" s="1">
        <v>44500</v>
      </c>
      <c r="H262" s="2">
        <v>45200</v>
      </c>
    </row>
    <row r="263" spans="1:8" hidden="1" x14ac:dyDescent="0.45">
      <c r="A263">
        <v>261</v>
      </c>
      <c r="B263" t="s">
        <v>8</v>
      </c>
      <c r="C263" s="3">
        <v>1755150.9730515401</v>
      </c>
      <c r="D263" s="3">
        <v>812443.59</v>
      </c>
      <c r="E263" s="3">
        <v>560078.05192386301</v>
      </c>
      <c r="F263" s="3">
        <v>3156620.53784646</v>
      </c>
      <c r="G263" s="1">
        <v>44500</v>
      </c>
      <c r="H263" s="2">
        <v>45231</v>
      </c>
    </row>
    <row r="264" spans="1:8" hidden="1" x14ac:dyDescent="0.45">
      <c r="A264">
        <v>262</v>
      </c>
      <c r="B264" t="s">
        <v>8</v>
      </c>
      <c r="C264" s="3">
        <v>1769044.9064281699</v>
      </c>
      <c r="D264" s="3">
        <v>375315.38</v>
      </c>
      <c r="E264" s="3">
        <v>585141.75439162902</v>
      </c>
      <c r="F264" s="3">
        <v>3214953.6659823102</v>
      </c>
      <c r="G264" s="1">
        <v>44500</v>
      </c>
      <c r="H264" s="2">
        <v>45261</v>
      </c>
    </row>
    <row r="265" spans="1:8" hidden="1" x14ac:dyDescent="0.45">
      <c r="A265">
        <v>263</v>
      </c>
      <c r="B265" t="s">
        <v>8</v>
      </c>
      <c r="C265" s="3">
        <v>1784563.7742836101</v>
      </c>
      <c r="D265" s="3">
        <v>639496.23</v>
      </c>
      <c r="E265" s="3">
        <v>594511.31298614701</v>
      </c>
      <c r="F265" s="3">
        <v>3272347.4836091301</v>
      </c>
      <c r="G265" s="1">
        <v>44500</v>
      </c>
      <c r="H265" s="2">
        <v>45292</v>
      </c>
    </row>
    <row r="266" spans="1:8" hidden="1" x14ac:dyDescent="0.45">
      <c r="A266">
        <v>264</v>
      </c>
      <c r="B266" t="s">
        <v>8</v>
      </c>
      <c r="C266" s="3">
        <v>1217553.2162085201</v>
      </c>
      <c r="D266" s="3">
        <v>400736.67</v>
      </c>
      <c r="E266" s="3">
        <v>422539.29945546598</v>
      </c>
      <c r="F266" s="3">
        <v>2157302.02441472</v>
      </c>
      <c r="G266" s="1">
        <v>44500</v>
      </c>
      <c r="H266" s="2">
        <v>45323</v>
      </c>
    </row>
    <row r="267" spans="1:8" hidden="1" x14ac:dyDescent="0.45">
      <c r="A267">
        <v>265</v>
      </c>
      <c r="B267" t="s">
        <v>8</v>
      </c>
      <c r="C267" s="3">
        <v>1010233.68025658</v>
      </c>
      <c r="D267" s="3">
        <v>410662.11</v>
      </c>
      <c r="E267" s="3">
        <v>400357.78635112097</v>
      </c>
      <c r="F267" s="3">
        <v>1767551.81741264</v>
      </c>
      <c r="G267" s="1">
        <v>44500</v>
      </c>
      <c r="H267" s="2">
        <v>45352</v>
      </c>
    </row>
    <row r="268" spans="1:8" hidden="1" x14ac:dyDescent="0.45">
      <c r="A268">
        <v>266</v>
      </c>
      <c r="B268" t="s">
        <v>8</v>
      </c>
      <c r="C268" s="3">
        <v>908152.945271014</v>
      </c>
      <c r="D268" s="3">
        <v>600690.18999999994</v>
      </c>
      <c r="E268" s="3">
        <v>354153.91897661798</v>
      </c>
      <c r="F268" s="3">
        <v>1604303.0999646001</v>
      </c>
      <c r="G268" s="1">
        <v>44500</v>
      </c>
      <c r="H268" s="2">
        <v>45383</v>
      </c>
    </row>
    <row r="269" spans="1:8" hidden="1" x14ac:dyDescent="0.45">
      <c r="A269">
        <v>267</v>
      </c>
      <c r="B269" t="s">
        <v>8</v>
      </c>
      <c r="C269" s="3">
        <v>1628093.8218014601</v>
      </c>
      <c r="D269" s="3">
        <v>316116.679999999</v>
      </c>
      <c r="E269" s="3">
        <v>754564.43051725498</v>
      </c>
      <c r="F269" s="3">
        <v>2629064.30837005</v>
      </c>
      <c r="G269" s="1">
        <v>44500</v>
      </c>
      <c r="H269" s="2">
        <v>45413</v>
      </c>
    </row>
    <row r="270" spans="1:8" hidden="1" x14ac:dyDescent="0.45">
      <c r="A270">
        <v>268</v>
      </c>
      <c r="B270" t="s">
        <v>8</v>
      </c>
      <c r="C270" s="3">
        <v>3535214.2603740199</v>
      </c>
      <c r="D270" s="3">
        <v>375214.13</v>
      </c>
      <c r="E270" s="3">
        <v>2009174.5599704201</v>
      </c>
      <c r="F270" s="3">
        <v>5215367.3074978497</v>
      </c>
      <c r="G270" s="1">
        <v>44500</v>
      </c>
      <c r="H270" s="2">
        <v>45444</v>
      </c>
    </row>
    <row r="271" spans="1:8" hidden="1" x14ac:dyDescent="0.45">
      <c r="A271">
        <v>269</v>
      </c>
      <c r="B271" t="s">
        <v>8</v>
      </c>
      <c r="C271" s="3">
        <v>3983879.0257244101</v>
      </c>
      <c r="D271" s="3">
        <v>383291.98</v>
      </c>
      <c r="E271" s="3">
        <v>2271693.0588760399</v>
      </c>
      <c r="F271" s="3">
        <v>5821949.3666182896</v>
      </c>
      <c r="G271" s="1">
        <v>44500</v>
      </c>
      <c r="H271" s="2">
        <v>45474</v>
      </c>
    </row>
    <row r="272" spans="1:8" hidden="1" x14ac:dyDescent="0.45">
      <c r="A272">
        <v>270</v>
      </c>
      <c r="B272" t="s">
        <v>8</v>
      </c>
      <c r="C272" s="3">
        <v>1769720.38993195</v>
      </c>
      <c r="D272" s="3">
        <v>353272.43</v>
      </c>
      <c r="E272" s="3">
        <v>915984.24649871199</v>
      </c>
      <c r="F272" s="3">
        <v>2742602.9354453199</v>
      </c>
      <c r="G272" s="1">
        <v>44500</v>
      </c>
      <c r="H272" s="2">
        <v>45505</v>
      </c>
    </row>
    <row r="273" spans="1:8" hidden="1" x14ac:dyDescent="0.45">
      <c r="A273">
        <v>271</v>
      </c>
      <c r="B273" t="s">
        <v>8</v>
      </c>
      <c r="C273" s="3">
        <v>2568353.6348990002</v>
      </c>
      <c r="D273" s="3">
        <v>651983.85</v>
      </c>
      <c r="E273" s="3">
        <v>1418050.61842916</v>
      </c>
      <c r="F273" s="3">
        <v>3848555.5617205598</v>
      </c>
      <c r="G273" s="1">
        <v>44500</v>
      </c>
      <c r="H273" s="2">
        <v>45536</v>
      </c>
    </row>
    <row r="274" spans="1:8" hidden="1" x14ac:dyDescent="0.45">
      <c r="A274">
        <v>272</v>
      </c>
      <c r="B274" t="s">
        <v>8</v>
      </c>
      <c r="C274" s="3">
        <v>1410921.4407544299</v>
      </c>
      <c r="D274" s="3">
        <v>277668.38</v>
      </c>
      <c r="E274" s="3">
        <v>735966.10521163605</v>
      </c>
      <c r="F274" s="3">
        <v>2169768.5852143299</v>
      </c>
      <c r="G274" s="1">
        <v>44500</v>
      </c>
      <c r="H274" s="2">
        <v>45566</v>
      </c>
    </row>
    <row r="275" spans="1:8" hidden="1" x14ac:dyDescent="0.45">
      <c r="A275">
        <v>273</v>
      </c>
      <c r="B275" t="s">
        <v>8</v>
      </c>
      <c r="C275" s="3">
        <v>1944472.5832056899</v>
      </c>
      <c r="D275" s="3"/>
      <c r="E275" s="3">
        <v>574417.46236298804</v>
      </c>
      <c r="F275" s="3">
        <v>3658713.7471614</v>
      </c>
      <c r="G275" s="1">
        <v>44500</v>
      </c>
      <c r="H275" s="2">
        <v>45597</v>
      </c>
    </row>
    <row r="276" spans="1:8" hidden="1" x14ac:dyDescent="0.45">
      <c r="A276">
        <v>274</v>
      </c>
      <c r="B276" t="s">
        <v>8</v>
      </c>
      <c r="C276" s="3">
        <v>1961580.4719570901</v>
      </c>
      <c r="D276" s="3"/>
      <c r="E276" s="3">
        <v>589213.037955579</v>
      </c>
      <c r="F276" s="3">
        <v>3711519.4484275999</v>
      </c>
      <c r="G276" s="1">
        <v>44500</v>
      </c>
      <c r="H276" s="2">
        <v>45627</v>
      </c>
    </row>
    <row r="277" spans="1:8" hidden="1" x14ac:dyDescent="0.45">
      <c r="A277">
        <v>275</v>
      </c>
      <c r="B277" t="s">
        <v>8</v>
      </c>
      <c r="C277" s="3">
        <v>1978526.0933872999</v>
      </c>
      <c r="D277" s="3"/>
      <c r="E277" s="3">
        <v>576978.12722117803</v>
      </c>
      <c r="F277" s="3">
        <v>3748854.2704082401</v>
      </c>
      <c r="G277" s="1">
        <v>44500</v>
      </c>
      <c r="H277" s="2">
        <v>45658</v>
      </c>
    </row>
    <row r="278" spans="1:8" hidden="1" x14ac:dyDescent="0.45">
      <c r="A278">
        <v>276</v>
      </c>
      <c r="B278" t="s">
        <v>8</v>
      </c>
      <c r="C278" s="3">
        <v>1349439.2946927401</v>
      </c>
      <c r="D278" s="3"/>
      <c r="E278" s="3">
        <v>411792.33398726501</v>
      </c>
      <c r="F278" s="3">
        <v>2471776.3252469799</v>
      </c>
      <c r="G278" s="1">
        <v>44500</v>
      </c>
      <c r="H278" s="2">
        <v>45689</v>
      </c>
    </row>
    <row r="279" spans="1:8" hidden="1" x14ac:dyDescent="0.45">
      <c r="A279">
        <v>277</v>
      </c>
      <c r="B279" t="s">
        <v>8</v>
      </c>
      <c r="C279" s="3">
        <v>1120260.6849688301</v>
      </c>
      <c r="D279" s="3"/>
      <c r="E279" s="3">
        <v>391198.25512617797</v>
      </c>
      <c r="F279" s="3">
        <v>2042776.9316451601</v>
      </c>
      <c r="G279" s="1">
        <v>44500</v>
      </c>
      <c r="H279" s="2">
        <v>45717</v>
      </c>
    </row>
    <row r="280" spans="1:8" hidden="1" x14ac:dyDescent="0.45">
      <c r="A280">
        <v>278</v>
      </c>
      <c r="B280" t="s">
        <v>8</v>
      </c>
      <c r="C280" s="3">
        <v>1007383.0150248701</v>
      </c>
      <c r="D280" s="3"/>
      <c r="E280" s="3">
        <v>338609.70767629502</v>
      </c>
      <c r="F280" s="3">
        <v>1837485.60814582</v>
      </c>
      <c r="G280" s="1">
        <v>44500</v>
      </c>
      <c r="H280" s="2">
        <v>45748</v>
      </c>
    </row>
    <row r="281" spans="1:8" hidden="1" x14ac:dyDescent="0.45">
      <c r="A281">
        <v>279</v>
      </c>
      <c r="B281" t="s">
        <v>8</v>
      </c>
      <c r="C281" s="3">
        <v>1807792.9836594299</v>
      </c>
      <c r="D281" s="3"/>
      <c r="E281" s="3">
        <v>708873.674058042</v>
      </c>
      <c r="F281" s="3">
        <v>3069287.6786185298</v>
      </c>
      <c r="G281" s="1">
        <v>44500</v>
      </c>
      <c r="H281" s="2">
        <v>45778</v>
      </c>
    </row>
    <row r="282" spans="1:8" hidden="1" x14ac:dyDescent="0.45">
      <c r="A282">
        <v>280</v>
      </c>
      <c r="B282" t="s">
        <v>8</v>
      </c>
      <c r="C282" s="3">
        <v>3928679.0192803298</v>
      </c>
      <c r="D282" s="3"/>
      <c r="E282" s="3">
        <v>1902156.6699983301</v>
      </c>
      <c r="F282" s="3">
        <v>6233239.5071682697</v>
      </c>
      <c r="G282" s="1">
        <v>44500</v>
      </c>
      <c r="H282" s="2">
        <v>45809</v>
      </c>
    </row>
    <row r="283" spans="1:8" hidden="1" x14ac:dyDescent="0.45">
      <c r="A283">
        <v>281</v>
      </c>
      <c r="B283" t="s">
        <v>8</v>
      </c>
      <c r="C283" s="3">
        <v>4427319.9941939795</v>
      </c>
      <c r="D283" s="3"/>
      <c r="E283" s="3">
        <v>2125302.9829476299</v>
      </c>
      <c r="F283" s="3">
        <v>6988343.1453159498</v>
      </c>
      <c r="G283" s="1">
        <v>44500</v>
      </c>
      <c r="H283" s="2">
        <v>45839</v>
      </c>
    </row>
    <row r="284" spans="1:8" hidden="1" x14ac:dyDescent="0.45">
      <c r="A284">
        <v>282</v>
      </c>
      <c r="B284" t="s">
        <v>8</v>
      </c>
      <c r="C284" s="3">
        <v>1968811.9620157101</v>
      </c>
      <c r="D284" s="3"/>
      <c r="E284" s="3">
        <v>885857.34671320603</v>
      </c>
      <c r="F284" s="3">
        <v>3272032.22404016</v>
      </c>
      <c r="G284" s="1">
        <v>44500</v>
      </c>
      <c r="H284" s="2">
        <v>45870</v>
      </c>
    </row>
    <row r="285" spans="1:8" hidden="1" x14ac:dyDescent="0.45">
      <c r="A285">
        <v>283</v>
      </c>
      <c r="B285" t="s">
        <v>8</v>
      </c>
      <c r="C285" s="3">
        <v>2857260.3213204001</v>
      </c>
      <c r="D285" s="3"/>
      <c r="E285" s="3">
        <v>1335886.0676438999</v>
      </c>
      <c r="F285" s="3">
        <v>4601117.8965285402</v>
      </c>
      <c r="G285" s="1">
        <v>44500</v>
      </c>
      <c r="H285" s="2">
        <v>45901</v>
      </c>
    </row>
    <row r="286" spans="1:8" hidden="1" x14ac:dyDescent="0.45">
      <c r="A286">
        <v>284</v>
      </c>
      <c r="B286" t="s">
        <v>8</v>
      </c>
      <c r="C286" s="3">
        <v>1570486.0677356301</v>
      </c>
      <c r="D286" s="3"/>
      <c r="E286" s="3">
        <v>711338.39055058896</v>
      </c>
      <c r="F286" s="3">
        <v>2595769.6088527199</v>
      </c>
      <c r="G286" s="1">
        <v>44500</v>
      </c>
      <c r="H286" s="2">
        <v>45931</v>
      </c>
    </row>
    <row r="287" spans="1:8" hidden="1" x14ac:dyDescent="0.45">
      <c r="A287">
        <v>285</v>
      </c>
      <c r="B287" t="s">
        <v>7</v>
      </c>
      <c r="C287" s="3">
        <v>73640.861235705306</v>
      </c>
      <c r="D287" s="3">
        <v>28250.62</v>
      </c>
      <c r="E287" s="3">
        <v>39751.692122266402</v>
      </c>
      <c r="F287" s="3">
        <v>114714.501811447</v>
      </c>
      <c r="G287" s="1">
        <v>44530</v>
      </c>
      <c r="H287" s="2">
        <v>44228</v>
      </c>
    </row>
    <row r="288" spans="1:8" hidden="1" x14ac:dyDescent="0.45">
      <c r="A288">
        <v>286</v>
      </c>
      <c r="B288" t="s">
        <v>7</v>
      </c>
      <c r="C288" s="3">
        <v>91825.002995050003</v>
      </c>
      <c r="D288" s="3">
        <v>36247.919999999998</v>
      </c>
      <c r="E288" s="3">
        <v>46416.729379071301</v>
      </c>
      <c r="F288" s="3">
        <v>143477.95879146899</v>
      </c>
      <c r="G288" s="1">
        <v>44530</v>
      </c>
      <c r="H288" s="2">
        <v>44256</v>
      </c>
    </row>
    <row r="289" spans="1:8" hidden="1" x14ac:dyDescent="0.45">
      <c r="A289">
        <v>287</v>
      </c>
      <c r="B289" t="s">
        <v>7</v>
      </c>
      <c r="C289" s="3">
        <v>97373.663959768397</v>
      </c>
      <c r="D289" s="3">
        <v>14721.48</v>
      </c>
      <c r="E289" s="3">
        <v>50645.342716814099</v>
      </c>
      <c r="F289" s="3">
        <v>150779.18547642301</v>
      </c>
      <c r="G289" s="1">
        <v>44530</v>
      </c>
      <c r="H289" s="2">
        <v>44287</v>
      </c>
    </row>
    <row r="290" spans="1:8" hidden="1" x14ac:dyDescent="0.45">
      <c r="A290">
        <v>288</v>
      </c>
      <c r="B290" t="s">
        <v>7</v>
      </c>
      <c r="C290" s="3">
        <v>197623.481603469</v>
      </c>
      <c r="D290" s="3">
        <v>94346.71</v>
      </c>
      <c r="E290" s="3">
        <v>113457.517493554</v>
      </c>
      <c r="F290" s="3">
        <v>289512.747048511</v>
      </c>
      <c r="G290" s="1">
        <v>44530</v>
      </c>
      <c r="H290" s="2">
        <v>44317</v>
      </c>
    </row>
    <row r="291" spans="1:8" hidden="1" x14ac:dyDescent="0.45">
      <c r="A291">
        <v>289</v>
      </c>
      <c r="B291" t="s">
        <v>7</v>
      </c>
      <c r="C291" s="3">
        <v>743023.58039300796</v>
      </c>
      <c r="D291" s="3">
        <v>970740.72</v>
      </c>
      <c r="E291" s="3">
        <v>557414.56233380095</v>
      </c>
      <c r="F291" s="3">
        <v>926465.36142896302</v>
      </c>
      <c r="G291" s="1">
        <v>44530</v>
      </c>
      <c r="H291" s="2">
        <v>44348</v>
      </c>
    </row>
    <row r="292" spans="1:8" hidden="1" x14ac:dyDescent="0.45">
      <c r="A292">
        <v>290</v>
      </c>
      <c r="B292" t="s">
        <v>7</v>
      </c>
      <c r="C292" s="3">
        <v>1654406.8304113799</v>
      </c>
      <c r="D292" s="3">
        <v>1798271.24</v>
      </c>
      <c r="E292" s="3">
        <v>1370121.5025426301</v>
      </c>
      <c r="F292" s="3">
        <v>1937430.1798366399</v>
      </c>
      <c r="G292" s="1">
        <v>44530</v>
      </c>
      <c r="H292" s="2">
        <v>44378</v>
      </c>
    </row>
    <row r="293" spans="1:8" hidden="1" x14ac:dyDescent="0.45">
      <c r="A293">
        <v>291</v>
      </c>
      <c r="B293" t="s">
        <v>7</v>
      </c>
      <c r="C293" s="3">
        <v>911927.16003128502</v>
      </c>
      <c r="D293" s="3">
        <v>700449.31</v>
      </c>
      <c r="E293" s="3">
        <v>671586.796205258</v>
      </c>
      <c r="F293" s="3">
        <v>1165284.35353859</v>
      </c>
      <c r="G293" s="1">
        <v>44530</v>
      </c>
      <c r="H293" s="2">
        <v>44409</v>
      </c>
    </row>
    <row r="294" spans="1:8" hidden="1" x14ac:dyDescent="0.45">
      <c r="A294">
        <v>292</v>
      </c>
      <c r="B294" t="s">
        <v>7</v>
      </c>
      <c r="C294" s="3">
        <v>1518117.53097061</v>
      </c>
      <c r="D294" s="3">
        <v>1784906.52</v>
      </c>
      <c r="E294" s="3">
        <v>1186530.50001549</v>
      </c>
      <c r="F294" s="3">
        <v>1862499.61042496</v>
      </c>
      <c r="G294" s="1">
        <v>44530</v>
      </c>
      <c r="H294" s="2">
        <v>44440</v>
      </c>
    </row>
    <row r="295" spans="1:8" hidden="1" x14ac:dyDescent="0.45">
      <c r="A295">
        <v>293</v>
      </c>
      <c r="B295" t="s">
        <v>7</v>
      </c>
      <c r="C295" s="3">
        <v>962970.98567463795</v>
      </c>
      <c r="D295" s="3">
        <v>706422.77</v>
      </c>
      <c r="E295" s="3">
        <v>695977.44298359496</v>
      </c>
      <c r="F295" s="3">
        <v>1246951.6383334999</v>
      </c>
      <c r="G295" s="1">
        <v>44530</v>
      </c>
      <c r="H295" s="2">
        <v>44470</v>
      </c>
    </row>
    <row r="296" spans="1:8" hidden="1" x14ac:dyDescent="0.45">
      <c r="A296">
        <v>294</v>
      </c>
      <c r="B296" t="s">
        <v>7</v>
      </c>
      <c r="C296" s="3">
        <v>3001784.6236690301</v>
      </c>
      <c r="D296" s="3">
        <v>3115611.92</v>
      </c>
      <c r="E296" s="3">
        <v>2499280.0203413898</v>
      </c>
      <c r="F296" s="3">
        <v>3503057.2797935698</v>
      </c>
      <c r="G296" s="1">
        <v>44530</v>
      </c>
      <c r="H296" s="2">
        <v>44501</v>
      </c>
    </row>
    <row r="297" spans="1:8" hidden="1" x14ac:dyDescent="0.45">
      <c r="A297">
        <v>295</v>
      </c>
      <c r="B297" t="s">
        <v>8</v>
      </c>
      <c r="C297" s="3">
        <v>1777227.25256879</v>
      </c>
      <c r="D297" s="3">
        <v>158643.82999999999</v>
      </c>
      <c r="E297" s="3">
        <v>856144.94095058995</v>
      </c>
      <c r="F297" s="3">
        <v>2773427.4489858602</v>
      </c>
      <c r="G297" s="1">
        <v>44530</v>
      </c>
      <c r="H297" s="2">
        <v>44531</v>
      </c>
    </row>
    <row r="298" spans="1:8" hidden="1" x14ac:dyDescent="0.45">
      <c r="A298">
        <v>296</v>
      </c>
      <c r="B298" t="s">
        <v>8</v>
      </c>
      <c r="C298" s="3">
        <v>1880811.5433956301</v>
      </c>
      <c r="D298" s="3">
        <v>1043054.45999999</v>
      </c>
      <c r="E298" s="3">
        <v>894726.02289657702</v>
      </c>
      <c r="F298" s="3">
        <v>2892870.8697651699</v>
      </c>
      <c r="G298" s="1">
        <v>44530</v>
      </c>
      <c r="H298" s="2">
        <v>44562</v>
      </c>
    </row>
    <row r="299" spans="1:8" hidden="1" x14ac:dyDescent="0.45">
      <c r="A299">
        <v>297</v>
      </c>
      <c r="B299" t="s">
        <v>8</v>
      </c>
      <c r="C299" s="3">
        <v>1517779.07517211</v>
      </c>
      <c r="D299" s="3">
        <v>797209.57</v>
      </c>
      <c r="E299" s="3">
        <v>705711.159635533</v>
      </c>
      <c r="F299" s="3">
        <v>2498398.29590317</v>
      </c>
      <c r="G299" s="1">
        <v>44530</v>
      </c>
      <c r="H299" s="2">
        <v>44593</v>
      </c>
    </row>
    <row r="300" spans="1:8" hidden="1" x14ac:dyDescent="0.45">
      <c r="A300">
        <v>298</v>
      </c>
      <c r="B300" t="s">
        <v>8</v>
      </c>
      <c r="C300" s="3">
        <v>1363241.1388246301</v>
      </c>
      <c r="D300" s="3">
        <v>2003638.46</v>
      </c>
      <c r="E300" s="3">
        <v>594744.28613352799</v>
      </c>
      <c r="F300" s="3">
        <v>2190923.8704757201</v>
      </c>
      <c r="G300" s="1">
        <v>44530</v>
      </c>
      <c r="H300" s="2">
        <v>44621</v>
      </c>
    </row>
    <row r="301" spans="1:8" hidden="1" x14ac:dyDescent="0.45">
      <c r="A301">
        <v>299</v>
      </c>
      <c r="B301" t="s">
        <v>8</v>
      </c>
      <c r="C301" s="3">
        <v>1288511.13060494</v>
      </c>
      <c r="D301" s="3">
        <v>64338.43</v>
      </c>
      <c r="E301" s="3">
        <v>592552.026275435</v>
      </c>
      <c r="F301" s="3">
        <v>2077481.0932620501</v>
      </c>
      <c r="G301" s="1">
        <v>44530</v>
      </c>
      <c r="H301" s="2">
        <v>44652</v>
      </c>
    </row>
    <row r="302" spans="1:8" hidden="1" x14ac:dyDescent="0.45">
      <c r="A302">
        <v>300</v>
      </c>
      <c r="B302" t="s">
        <v>8</v>
      </c>
      <c r="C302" s="3">
        <v>1937224.5721116001</v>
      </c>
      <c r="D302" s="3">
        <v>437982.2</v>
      </c>
      <c r="E302" s="3">
        <v>1020730.76713839</v>
      </c>
      <c r="F302" s="3">
        <v>2942098.3761209901</v>
      </c>
      <c r="G302" s="1">
        <v>44530</v>
      </c>
      <c r="H302" s="2">
        <v>44682</v>
      </c>
    </row>
    <row r="303" spans="1:8" hidden="1" x14ac:dyDescent="0.45">
      <c r="A303">
        <v>301</v>
      </c>
      <c r="B303" t="s">
        <v>8</v>
      </c>
      <c r="C303" s="3">
        <v>3847329.6162006198</v>
      </c>
      <c r="D303" s="3">
        <v>1043614.11</v>
      </c>
      <c r="E303" s="3">
        <v>2672307.3911797502</v>
      </c>
      <c r="F303" s="3">
        <v>5123168.5736427596</v>
      </c>
      <c r="G303" s="1">
        <v>44530</v>
      </c>
      <c r="H303" s="2">
        <v>44713</v>
      </c>
    </row>
    <row r="304" spans="1:8" hidden="1" x14ac:dyDescent="0.45">
      <c r="A304">
        <v>302</v>
      </c>
      <c r="B304" t="s">
        <v>8</v>
      </c>
      <c r="C304" s="3">
        <v>4334711.9159595901</v>
      </c>
      <c r="D304" s="3">
        <v>558177.87</v>
      </c>
      <c r="E304" s="3">
        <v>3070445.1106043002</v>
      </c>
      <c r="F304" s="3">
        <v>5695452.7868160596</v>
      </c>
      <c r="G304" s="1">
        <v>44530</v>
      </c>
      <c r="H304" s="2">
        <v>44743</v>
      </c>
    </row>
    <row r="305" spans="1:8" hidden="1" x14ac:dyDescent="0.45">
      <c r="A305">
        <v>303</v>
      </c>
      <c r="B305" t="s">
        <v>8</v>
      </c>
      <c r="C305" s="3">
        <v>2052537.4587658499</v>
      </c>
      <c r="D305" s="3">
        <v>893825.15999999898</v>
      </c>
      <c r="E305" s="3">
        <v>1331382.93888828</v>
      </c>
      <c r="F305" s="3">
        <v>2884016.27921827</v>
      </c>
      <c r="G305" s="1">
        <v>44530</v>
      </c>
      <c r="H305" s="2">
        <v>44774</v>
      </c>
    </row>
    <row r="306" spans="1:8" hidden="1" x14ac:dyDescent="0.45">
      <c r="A306">
        <v>304</v>
      </c>
      <c r="B306" t="s">
        <v>8</v>
      </c>
      <c r="C306" s="3">
        <v>2878035.61229569</v>
      </c>
      <c r="D306" s="3">
        <v>630008.31999999995</v>
      </c>
      <c r="E306" s="3">
        <v>2014092.83074132</v>
      </c>
      <c r="F306" s="3">
        <v>3791909.43746125</v>
      </c>
      <c r="G306" s="1">
        <v>44530</v>
      </c>
      <c r="H306" s="2">
        <v>44805</v>
      </c>
    </row>
    <row r="307" spans="1:8" hidden="1" x14ac:dyDescent="0.45">
      <c r="A307">
        <v>305</v>
      </c>
      <c r="B307" t="s">
        <v>8</v>
      </c>
      <c r="C307" s="3">
        <v>1636844.4539860401</v>
      </c>
      <c r="D307" s="3">
        <v>575566.51</v>
      </c>
      <c r="E307" s="3">
        <v>1053419.2639854599</v>
      </c>
      <c r="F307" s="3">
        <v>2232819.5271875998</v>
      </c>
      <c r="G307" s="1">
        <v>44530</v>
      </c>
      <c r="H307" s="2">
        <v>44835</v>
      </c>
    </row>
    <row r="308" spans="1:8" hidden="1" x14ac:dyDescent="0.45">
      <c r="A308">
        <v>306</v>
      </c>
      <c r="B308" t="s">
        <v>8</v>
      </c>
      <c r="C308" s="3">
        <v>4322504.4239770202</v>
      </c>
      <c r="D308" s="3">
        <v>1066390.96</v>
      </c>
      <c r="E308" s="3">
        <v>3372370.1857143599</v>
      </c>
      <c r="F308" s="3">
        <v>5334417.0216146698</v>
      </c>
      <c r="G308" s="1">
        <v>44530</v>
      </c>
      <c r="H308" s="2">
        <v>44866</v>
      </c>
    </row>
    <row r="309" spans="1:8" hidden="1" x14ac:dyDescent="0.45">
      <c r="A309">
        <v>307</v>
      </c>
      <c r="B309" t="s">
        <v>8</v>
      </c>
      <c r="C309" s="3">
        <v>2537138.8955687899</v>
      </c>
      <c r="D309" s="3">
        <v>216685.36999999901</v>
      </c>
      <c r="E309" s="3">
        <v>1228109.57863861</v>
      </c>
      <c r="F309" s="3">
        <v>3951452.7909514802</v>
      </c>
      <c r="G309" s="1">
        <v>44530</v>
      </c>
      <c r="H309" s="2">
        <v>44896</v>
      </c>
    </row>
    <row r="310" spans="1:8" hidden="1" x14ac:dyDescent="0.45">
      <c r="A310">
        <v>308</v>
      </c>
      <c r="B310" t="s">
        <v>8</v>
      </c>
      <c r="C310" s="3">
        <v>2588550.80055212</v>
      </c>
      <c r="D310" s="3">
        <v>654483.13</v>
      </c>
      <c r="E310" s="3">
        <v>1255665.7209614001</v>
      </c>
      <c r="F310" s="3">
        <v>4029215.4655037201</v>
      </c>
      <c r="G310" s="1">
        <v>44530</v>
      </c>
      <c r="H310" s="2">
        <v>44927</v>
      </c>
    </row>
    <row r="311" spans="1:8" hidden="1" x14ac:dyDescent="0.45">
      <c r="A311">
        <v>309</v>
      </c>
      <c r="B311" t="s">
        <v>8</v>
      </c>
      <c r="C311" s="3">
        <v>2027657.4318184</v>
      </c>
      <c r="D311" s="3">
        <v>613638.52</v>
      </c>
      <c r="E311" s="3">
        <v>941089.42024139804</v>
      </c>
      <c r="F311" s="3">
        <v>3362934.85787859</v>
      </c>
      <c r="G311" s="1">
        <v>44530</v>
      </c>
      <c r="H311" s="2">
        <v>44958</v>
      </c>
    </row>
    <row r="312" spans="1:8" hidden="1" x14ac:dyDescent="0.45">
      <c r="A312">
        <v>310</v>
      </c>
      <c r="B312" t="s">
        <v>8</v>
      </c>
      <c r="C312" s="3">
        <v>1802187.7258270199</v>
      </c>
      <c r="D312" s="3">
        <v>363991.94</v>
      </c>
      <c r="E312" s="3">
        <v>740630.26674905699</v>
      </c>
      <c r="F312" s="3">
        <v>2910125.8482240601</v>
      </c>
      <c r="G312" s="1">
        <v>44530</v>
      </c>
      <c r="H312" s="2">
        <v>44986</v>
      </c>
    </row>
    <row r="313" spans="1:8" hidden="1" x14ac:dyDescent="0.45">
      <c r="A313">
        <v>311</v>
      </c>
      <c r="B313" t="s">
        <v>8</v>
      </c>
      <c r="C313" s="3">
        <v>1679802.86638094</v>
      </c>
      <c r="D313" s="3">
        <v>649865.39</v>
      </c>
      <c r="E313" s="3">
        <v>787792.01313896605</v>
      </c>
      <c r="F313" s="3">
        <v>2769168.0601464999</v>
      </c>
      <c r="G313" s="1">
        <v>44530</v>
      </c>
      <c r="H313" s="2">
        <v>45017</v>
      </c>
    </row>
    <row r="314" spans="1:8" hidden="1" x14ac:dyDescent="0.45">
      <c r="A314">
        <v>312</v>
      </c>
      <c r="B314" t="s">
        <v>8</v>
      </c>
      <c r="C314" s="3">
        <v>2498902.7895398</v>
      </c>
      <c r="D314" s="3">
        <v>594540.88999999897</v>
      </c>
      <c r="E314" s="3">
        <v>1296221.2698140901</v>
      </c>
      <c r="F314" s="3">
        <v>3856280.7744715302</v>
      </c>
      <c r="G314" s="1">
        <v>44530</v>
      </c>
      <c r="H314" s="2">
        <v>45047</v>
      </c>
    </row>
    <row r="315" spans="1:8" hidden="1" x14ac:dyDescent="0.45">
      <c r="A315">
        <v>313</v>
      </c>
      <c r="B315" t="s">
        <v>8</v>
      </c>
      <c r="C315" s="3">
        <v>4924826.2509993399</v>
      </c>
      <c r="D315" s="3">
        <v>562220.91</v>
      </c>
      <c r="E315" s="3">
        <v>3291981.8255691999</v>
      </c>
      <c r="F315" s="3">
        <v>6677112.2000573799</v>
      </c>
      <c r="G315" s="1">
        <v>44530</v>
      </c>
      <c r="H315" s="2">
        <v>45078</v>
      </c>
    </row>
    <row r="316" spans="1:8" hidden="1" x14ac:dyDescent="0.45">
      <c r="A316">
        <v>314</v>
      </c>
      <c r="B316" t="s">
        <v>8</v>
      </c>
      <c r="C316" s="3">
        <v>5539070.6830034303</v>
      </c>
      <c r="D316" s="3">
        <v>582701.82999999996</v>
      </c>
      <c r="E316" s="3">
        <v>3818209.7260737</v>
      </c>
      <c r="F316" s="3">
        <v>7433072.0950151999</v>
      </c>
      <c r="G316" s="1">
        <v>44530</v>
      </c>
      <c r="H316" s="2">
        <v>45108</v>
      </c>
    </row>
    <row r="317" spans="1:8" hidden="1" x14ac:dyDescent="0.45">
      <c r="A317">
        <v>315</v>
      </c>
      <c r="B317" t="s">
        <v>8</v>
      </c>
      <c r="C317" s="3">
        <v>2620770.6562225102</v>
      </c>
      <c r="D317" s="3">
        <v>600576.51999999897</v>
      </c>
      <c r="E317" s="3">
        <v>1625645.89872204</v>
      </c>
      <c r="F317" s="3">
        <v>3732204.45106488</v>
      </c>
      <c r="G317" s="1">
        <v>44530</v>
      </c>
      <c r="H317" s="2">
        <v>45139</v>
      </c>
    </row>
    <row r="318" spans="1:8" hidden="1" x14ac:dyDescent="0.45">
      <c r="A318">
        <v>316</v>
      </c>
      <c r="B318" t="s">
        <v>8</v>
      </c>
      <c r="C318" s="3">
        <v>3676064.4369350201</v>
      </c>
      <c r="D318" s="3">
        <v>635635.4</v>
      </c>
      <c r="E318" s="3">
        <v>2521836.7385199699</v>
      </c>
      <c r="F318" s="3">
        <v>5009424.1922545601</v>
      </c>
      <c r="G318" s="1">
        <v>44530</v>
      </c>
      <c r="H318" s="2">
        <v>45170</v>
      </c>
    </row>
    <row r="319" spans="1:8" hidden="1" x14ac:dyDescent="0.45">
      <c r="A319">
        <v>317</v>
      </c>
      <c r="B319" t="s">
        <v>8</v>
      </c>
      <c r="C319" s="3">
        <v>2090953.5361166301</v>
      </c>
      <c r="D319" s="3">
        <v>575723.89</v>
      </c>
      <c r="E319" s="3">
        <v>1296978.84366532</v>
      </c>
      <c r="F319" s="3">
        <v>2907211.9323674901</v>
      </c>
      <c r="G319" s="1">
        <v>44530</v>
      </c>
      <c r="H319" s="2">
        <v>45200</v>
      </c>
    </row>
    <row r="320" spans="1:8" hidden="1" x14ac:dyDescent="0.45">
      <c r="A320">
        <v>318</v>
      </c>
      <c r="B320" t="s">
        <v>8</v>
      </c>
      <c r="C320" s="3">
        <v>5523988.0649958504</v>
      </c>
      <c r="D320" s="3">
        <v>846483.12</v>
      </c>
      <c r="E320" s="3">
        <v>4038983.3238788</v>
      </c>
      <c r="F320" s="3">
        <v>7027219.9535595402</v>
      </c>
      <c r="G320" s="1">
        <v>44530</v>
      </c>
      <c r="H320" s="2">
        <v>45231</v>
      </c>
    </row>
    <row r="321" spans="1:8" hidden="1" x14ac:dyDescent="0.45">
      <c r="A321">
        <v>319</v>
      </c>
      <c r="B321" t="s">
        <v>8</v>
      </c>
      <c r="C321" s="3">
        <v>3239170.31457467</v>
      </c>
      <c r="D321" s="3">
        <v>390445.48</v>
      </c>
      <c r="E321" s="3">
        <v>1499714.6407194701</v>
      </c>
      <c r="F321" s="3">
        <v>5071859.8691457901</v>
      </c>
      <c r="G321" s="1">
        <v>44530</v>
      </c>
      <c r="H321" s="2">
        <v>45261</v>
      </c>
    </row>
    <row r="322" spans="1:8" hidden="1" x14ac:dyDescent="0.45">
      <c r="A322">
        <v>320</v>
      </c>
      <c r="B322" t="s">
        <v>8</v>
      </c>
      <c r="C322" s="3">
        <v>3308774.1949454402</v>
      </c>
      <c r="D322" s="3">
        <v>662730.06999999995</v>
      </c>
      <c r="E322" s="3">
        <v>1531068.0753436901</v>
      </c>
      <c r="F322" s="3">
        <v>5193800.8976352802</v>
      </c>
      <c r="G322" s="1">
        <v>44530</v>
      </c>
      <c r="H322" s="2">
        <v>45292</v>
      </c>
    </row>
    <row r="323" spans="1:8" hidden="1" x14ac:dyDescent="0.45">
      <c r="A323">
        <v>321</v>
      </c>
      <c r="B323" t="s">
        <v>8</v>
      </c>
      <c r="C323" s="3">
        <v>2590738.7536338801</v>
      </c>
      <c r="D323" s="3">
        <v>415293.73</v>
      </c>
      <c r="E323" s="3">
        <v>1142868.7239196401</v>
      </c>
      <c r="F323" s="3">
        <v>4309904.0973272603</v>
      </c>
      <c r="G323" s="1">
        <v>44530</v>
      </c>
      <c r="H323" s="2">
        <v>45323</v>
      </c>
    </row>
    <row r="324" spans="1:8" hidden="1" x14ac:dyDescent="0.45">
      <c r="A324">
        <v>322</v>
      </c>
      <c r="B324" t="s">
        <v>8</v>
      </c>
      <c r="C324" s="3">
        <v>2305773.9590090201</v>
      </c>
      <c r="D324" s="3">
        <v>428249.19</v>
      </c>
      <c r="E324" s="3">
        <v>915932.60903391195</v>
      </c>
      <c r="F324" s="3">
        <v>3777448.4016092499</v>
      </c>
      <c r="G324" s="1">
        <v>44530</v>
      </c>
      <c r="H324" s="2">
        <v>45352</v>
      </c>
    </row>
    <row r="325" spans="1:8" hidden="1" x14ac:dyDescent="0.45">
      <c r="A325">
        <v>323</v>
      </c>
      <c r="B325" t="s">
        <v>8</v>
      </c>
      <c r="C325" s="3">
        <v>2148629.1818769202</v>
      </c>
      <c r="D325" s="3">
        <v>622344.9</v>
      </c>
      <c r="E325" s="3">
        <v>965891.23299879301</v>
      </c>
      <c r="F325" s="3">
        <v>3591003.0364776799</v>
      </c>
      <c r="G325" s="1">
        <v>44530</v>
      </c>
      <c r="H325" s="2">
        <v>45383</v>
      </c>
    </row>
    <row r="326" spans="1:8" hidden="1" x14ac:dyDescent="0.45">
      <c r="A326">
        <v>324</v>
      </c>
      <c r="B326" t="s">
        <v>8</v>
      </c>
      <c r="C326" s="3">
        <v>3197114.31052275</v>
      </c>
      <c r="D326" s="3">
        <v>333018.43999999901</v>
      </c>
      <c r="E326" s="3">
        <v>1600817.52534402</v>
      </c>
      <c r="F326" s="3">
        <v>5009532.7798171202</v>
      </c>
      <c r="G326" s="1">
        <v>44530</v>
      </c>
      <c r="H326" s="2">
        <v>45413</v>
      </c>
    </row>
    <row r="327" spans="1:8" hidden="1" x14ac:dyDescent="0.45">
      <c r="A327">
        <v>325</v>
      </c>
      <c r="B327" t="s">
        <v>8</v>
      </c>
      <c r="C327" s="3">
        <v>6300878.2922098301</v>
      </c>
      <c r="D327" s="3">
        <v>390005.48</v>
      </c>
      <c r="E327" s="3">
        <v>4054027.44523222</v>
      </c>
      <c r="F327" s="3">
        <v>8836522.9774420206</v>
      </c>
      <c r="G327" s="1">
        <v>44530</v>
      </c>
      <c r="H327" s="2">
        <v>45444</v>
      </c>
    </row>
    <row r="328" spans="1:8" hidden="1" x14ac:dyDescent="0.45">
      <c r="A328">
        <v>326</v>
      </c>
      <c r="B328" t="s">
        <v>8</v>
      </c>
      <c r="C328" s="3">
        <v>7086216.7791195996</v>
      </c>
      <c r="D328" s="3">
        <v>402199.93</v>
      </c>
      <c r="E328" s="3">
        <v>4570913.9311074596</v>
      </c>
      <c r="F328" s="3">
        <v>9751449.6053392608</v>
      </c>
      <c r="G328" s="1">
        <v>44530</v>
      </c>
      <c r="H328" s="2">
        <v>45474</v>
      </c>
    </row>
    <row r="329" spans="1:8" hidden="1" x14ac:dyDescent="0.45">
      <c r="A329">
        <v>327</v>
      </c>
      <c r="B329" t="s">
        <v>8</v>
      </c>
      <c r="C329" s="3">
        <v>3355639.6095601399</v>
      </c>
      <c r="D329" s="3">
        <v>367050.06</v>
      </c>
      <c r="E329" s="3">
        <v>2008295.88946975</v>
      </c>
      <c r="F329" s="3">
        <v>4932537.1115099397</v>
      </c>
      <c r="G329" s="1">
        <v>44530</v>
      </c>
      <c r="H329" s="2">
        <v>45505</v>
      </c>
    </row>
    <row r="330" spans="1:8" hidden="1" x14ac:dyDescent="0.45">
      <c r="A330">
        <v>328</v>
      </c>
      <c r="B330" t="s">
        <v>8</v>
      </c>
      <c r="C330" s="3">
        <v>4706653.6324864104</v>
      </c>
      <c r="D330" s="3">
        <v>684102.179999999</v>
      </c>
      <c r="E330" s="3">
        <v>2985700.5136399702</v>
      </c>
      <c r="F330" s="3">
        <v>6555195.1785716396</v>
      </c>
      <c r="G330" s="1">
        <v>44530</v>
      </c>
      <c r="H330" s="2">
        <v>45536</v>
      </c>
    </row>
    <row r="331" spans="1:8" hidden="1" x14ac:dyDescent="0.45">
      <c r="A331">
        <v>329</v>
      </c>
      <c r="B331" t="s">
        <v>8</v>
      </c>
      <c r="C331" s="3">
        <v>2676790.7295190599</v>
      </c>
      <c r="D331" s="3">
        <v>289332.34999999998</v>
      </c>
      <c r="E331" s="3">
        <v>1603506.22368727</v>
      </c>
      <c r="F331" s="3">
        <v>3870092.5384231899</v>
      </c>
      <c r="G331" s="1">
        <v>44530</v>
      </c>
      <c r="H331" s="2">
        <v>45566</v>
      </c>
    </row>
    <row r="332" spans="1:8" hidden="1" x14ac:dyDescent="0.45">
      <c r="A332">
        <v>330</v>
      </c>
      <c r="B332" t="s">
        <v>8</v>
      </c>
      <c r="C332" s="3">
        <v>7072677.8876432804</v>
      </c>
      <c r="D332" s="3"/>
      <c r="E332" s="3">
        <v>4857782.9656366399</v>
      </c>
      <c r="F332" s="3">
        <v>9483727.8185719792</v>
      </c>
      <c r="G332" s="1">
        <v>44530</v>
      </c>
      <c r="H332" s="2">
        <v>45597</v>
      </c>
    </row>
    <row r="333" spans="1:8" hidden="1" x14ac:dyDescent="0.45">
      <c r="A333">
        <v>331</v>
      </c>
      <c r="B333" t="s">
        <v>8</v>
      </c>
      <c r="C333" s="3">
        <v>4149964.0936588501</v>
      </c>
      <c r="D333" s="3"/>
      <c r="E333" s="3">
        <v>1855851.3417209601</v>
      </c>
      <c r="F333" s="3">
        <v>6637180.3301601904</v>
      </c>
      <c r="G333" s="1">
        <v>44530</v>
      </c>
      <c r="H333" s="2">
        <v>45627</v>
      </c>
    </row>
    <row r="334" spans="1:8" hidden="1" x14ac:dyDescent="0.45">
      <c r="A334">
        <v>332</v>
      </c>
      <c r="B334" t="s">
        <v>8</v>
      </c>
      <c r="C334" s="3">
        <v>4236301.9231892899</v>
      </c>
      <c r="D334" s="3"/>
      <c r="E334" s="3">
        <v>1850150.60457006</v>
      </c>
      <c r="F334" s="3">
        <v>6763039.7891838802</v>
      </c>
      <c r="G334" s="1">
        <v>44530</v>
      </c>
      <c r="H334" s="2">
        <v>45658</v>
      </c>
    </row>
    <row r="335" spans="1:8" hidden="1" x14ac:dyDescent="0.45">
      <c r="A335">
        <v>333</v>
      </c>
      <c r="B335" t="s">
        <v>8</v>
      </c>
      <c r="C335" s="3">
        <v>3318241.71618899</v>
      </c>
      <c r="D335" s="3"/>
      <c r="E335" s="3">
        <v>1423531.01307074</v>
      </c>
      <c r="F335" s="3">
        <v>5640068.0380915804</v>
      </c>
      <c r="G335" s="1">
        <v>44530</v>
      </c>
      <c r="H335" s="2">
        <v>45689</v>
      </c>
    </row>
    <row r="336" spans="1:8" hidden="1" x14ac:dyDescent="0.45">
      <c r="A336">
        <v>334</v>
      </c>
      <c r="B336" t="s">
        <v>8</v>
      </c>
      <c r="C336" s="3">
        <v>2954543.2098619798</v>
      </c>
      <c r="D336" s="3"/>
      <c r="E336" s="3">
        <v>1134060.1619880099</v>
      </c>
      <c r="F336" s="3">
        <v>4957984.5020547798</v>
      </c>
      <c r="G336" s="1">
        <v>44530</v>
      </c>
      <c r="H336" s="2">
        <v>45717</v>
      </c>
    </row>
    <row r="337" spans="1:8" hidden="1" x14ac:dyDescent="0.45">
      <c r="A337">
        <v>335</v>
      </c>
      <c r="B337" t="s">
        <v>8</v>
      </c>
      <c r="C337" s="3">
        <v>2749752.94496198</v>
      </c>
      <c r="D337" s="3"/>
      <c r="E337" s="3">
        <v>1181094.46983606</v>
      </c>
      <c r="F337" s="3">
        <v>4677148.6719903098</v>
      </c>
      <c r="G337" s="1">
        <v>44530</v>
      </c>
      <c r="H337" s="2">
        <v>45748</v>
      </c>
    </row>
    <row r="338" spans="1:8" hidden="1" x14ac:dyDescent="0.45">
      <c r="A338">
        <v>336</v>
      </c>
      <c r="B338" t="s">
        <v>8</v>
      </c>
      <c r="C338" s="3">
        <v>4094357.6047725198</v>
      </c>
      <c r="D338" s="3"/>
      <c r="E338" s="3">
        <v>1947346.76380726</v>
      </c>
      <c r="F338" s="3">
        <v>6595422.6768194903</v>
      </c>
      <c r="G338" s="1">
        <v>44530</v>
      </c>
      <c r="H338" s="2">
        <v>45778</v>
      </c>
    </row>
    <row r="339" spans="1:8" hidden="1" x14ac:dyDescent="0.45">
      <c r="A339">
        <v>337</v>
      </c>
      <c r="B339" t="s">
        <v>8</v>
      </c>
      <c r="C339" s="3">
        <v>8072104.68134603</v>
      </c>
      <c r="D339" s="3"/>
      <c r="E339" s="3">
        <v>4859682.3185188398</v>
      </c>
      <c r="F339" s="3">
        <v>11769553.784087799</v>
      </c>
      <c r="G339" s="1">
        <v>44530</v>
      </c>
      <c r="H339" s="2">
        <v>45809</v>
      </c>
    </row>
    <row r="340" spans="1:8" hidden="1" x14ac:dyDescent="0.45">
      <c r="A340">
        <v>338</v>
      </c>
      <c r="B340" t="s">
        <v>8</v>
      </c>
      <c r="C340" s="3">
        <v>9077217.3593200799</v>
      </c>
      <c r="D340" s="3"/>
      <c r="E340" s="3">
        <v>5555410.2427608697</v>
      </c>
      <c r="F340" s="3">
        <v>13135878.998744899</v>
      </c>
      <c r="G340" s="1">
        <v>44530</v>
      </c>
      <c r="H340" s="2">
        <v>45839</v>
      </c>
    </row>
    <row r="341" spans="1:8" hidden="1" x14ac:dyDescent="0.45">
      <c r="A341">
        <v>339</v>
      </c>
      <c r="B341" t="s">
        <v>8</v>
      </c>
      <c r="C341" s="3">
        <v>4301301.0441450104</v>
      </c>
      <c r="D341" s="3"/>
      <c r="E341" s="3">
        <v>2382396.3708804701</v>
      </c>
      <c r="F341" s="3">
        <v>6511974.8575598598</v>
      </c>
      <c r="G341" s="1">
        <v>44530</v>
      </c>
      <c r="H341" s="2">
        <v>45870</v>
      </c>
    </row>
    <row r="342" spans="1:8" hidden="1" x14ac:dyDescent="0.45">
      <c r="A342">
        <v>340</v>
      </c>
      <c r="B342" t="s">
        <v>8</v>
      </c>
      <c r="C342" s="3">
        <v>6029851.8174668103</v>
      </c>
      <c r="D342" s="3"/>
      <c r="E342" s="3">
        <v>3504136.3173621101</v>
      </c>
      <c r="F342" s="3">
        <v>8717796.8650528695</v>
      </c>
      <c r="G342" s="1">
        <v>44530</v>
      </c>
      <c r="H342" s="2">
        <v>45901</v>
      </c>
    </row>
    <row r="343" spans="1:8" hidden="1" x14ac:dyDescent="0.45">
      <c r="A343">
        <v>341</v>
      </c>
      <c r="B343" t="s">
        <v>8</v>
      </c>
      <c r="C343" s="3">
        <v>3432127.46940193</v>
      </c>
      <c r="D343" s="3"/>
      <c r="E343" s="3">
        <v>1902225.15062637</v>
      </c>
      <c r="F343" s="3">
        <v>5145054.4431987302</v>
      </c>
      <c r="G343" s="1">
        <v>44530</v>
      </c>
      <c r="H343" s="2">
        <v>45931</v>
      </c>
    </row>
    <row r="344" spans="1:8" hidden="1" x14ac:dyDescent="0.45">
      <c r="A344">
        <v>342</v>
      </c>
      <c r="B344" t="s">
        <v>7</v>
      </c>
      <c r="C344" s="3">
        <v>82819.250375288</v>
      </c>
      <c r="D344" s="3">
        <v>28250.62</v>
      </c>
      <c r="E344" s="3">
        <v>34195.938551614803</v>
      </c>
      <c r="F344" s="3">
        <v>143766.76273224599</v>
      </c>
      <c r="G344" s="1">
        <v>44561</v>
      </c>
      <c r="H344" s="2">
        <v>44228</v>
      </c>
    </row>
    <row r="345" spans="1:8" hidden="1" x14ac:dyDescent="0.45">
      <c r="A345">
        <v>343</v>
      </c>
      <c r="B345" t="s">
        <v>7</v>
      </c>
      <c r="C345" s="3">
        <v>98934.414176141596</v>
      </c>
      <c r="D345" s="3">
        <v>36247.919999999998</v>
      </c>
      <c r="E345" s="3">
        <v>43028.722862542803</v>
      </c>
      <c r="F345" s="3">
        <v>166168.01417740801</v>
      </c>
      <c r="G345" s="1">
        <v>44561</v>
      </c>
      <c r="H345" s="2">
        <v>44256</v>
      </c>
    </row>
    <row r="346" spans="1:8" hidden="1" x14ac:dyDescent="0.45">
      <c r="A346">
        <v>344</v>
      </c>
      <c r="B346" t="s">
        <v>7</v>
      </c>
      <c r="C346" s="3">
        <v>100758.91982022799</v>
      </c>
      <c r="D346" s="3">
        <v>14721.48</v>
      </c>
      <c r="E346" s="3">
        <v>43345.3842792305</v>
      </c>
      <c r="F346" s="3">
        <v>166721.64011160599</v>
      </c>
      <c r="G346" s="1">
        <v>44561</v>
      </c>
      <c r="H346" s="2">
        <v>44287</v>
      </c>
    </row>
    <row r="347" spans="1:8" hidden="1" x14ac:dyDescent="0.45">
      <c r="A347">
        <v>345</v>
      </c>
      <c r="B347" t="s">
        <v>7</v>
      </c>
      <c r="C347" s="3">
        <v>206381.117730895</v>
      </c>
      <c r="D347" s="3">
        <v>94346.71</v>
      </c>
      <c r="E347" s="3">
        <v>114188.962769936</v>
      </c>
      <c r="F347" s="3">
        <v>312227.92897068599</v>
      </c>
      <c r="G347" s="1">
        <v>44561</v>
      </c>
      <c r="H347" s="2">
        <v>44317</v>
      </c>
    </row>
    <row r="348" spans="1:8" hidden="1" x14ac:dyDescent="0.45">
      <c r="A348">
        <v>346</v>
      </c>
      <c r="B348" t="s">
        <v>7</v>
      </c>
      <c r="C348" s="3">
        <v>753602.22673483298</v>
      </c>
      <c r="D348" s="3">
        <v>970740.72</v>
      </c>
      <c r="E348" s="3">
        <v>556903.670952474</v>
      </c>
      <c r="F348" s="3">
        <v>973270.456124741</v>
      </c>
      <c r="G348" s="1">
        <v>44561</v>
      </c>
      <c r="H348" s="2">
        <v>44348</v>
      </c>
    </row>
    <row r="349" spans="1:8" hidden="1" x14ac:dyDescent="0.45">
      <c r="A349">
        <v>347</v>
      </c>
      <c r="B349" t="s">
        <v>7</v>
      </c>
      <c r="C349" s="3">
        <v>1666000.73276177</v>
      </c>
      <c r="D349" s="3">
        <v>1798271.24</v>
      </c>
      <c r="E349" s="3">
        <v>1337539.29380842</v>
      </c>
      <c r="F349" s="3">
        <v>1969637.7230092799</v>
      </c>
      <c r="G349" s="1">
        <v>44561</v>
      </c>
      <c r="H349" s="2">
        <v>44378</v>
      </c>
    </row>
    <row r="350" spans="1:8" hidden="1" x14ac:dyDescent="0.45">
      <c r="A350">
        <v>348</v>
      </c>
      <c r="B350" t="s">
        <v>7</v>
      </c>
      <c r="C350" s="3">
        <v>889860.09255688603</v>
      </c>
      <c r="D350" s="3">
        <v>700449.31</v>
      </c>
      <c r="E350" s="3">
        <v>636444.84019444801</v>
      </c>
      <c r="F350" s="3">
        <v>1162989.63756704</v>
      </c>
      <c r="G350" s="1">
        <v>44561</v>
      </c>
      <c r="H350" s="2">
        <v>44409</v>
      </c>
    </row>
    <row r="351" spans="1:8" hidden="1" x14ac:dyDescent="0.45">
      <c r="A351">
        <v>349</v>
      </c>
      <c r="B351" t="s">
        <v>7</v>
      </c>
      <c r="C351" s="3">
        <v>1470736.3967283301</v>
      </c>
      <c r="D351" s="3">
        <v>1784906.52</v>
      </c>
      <c r="E351" s="3">
        <v>1136621.8211920599</v>
      </c>
      <c r="F351" s="3">
        <v>1822469.2307162201</v>
      </c>
      <c r="G351" s="1">
        <v>44561</v>
      </c>
      <c r="H351" s="2">
        <v>44440</v>
      </c>
    </row>
    <row r="352" spans="1:8" hidden="1" x14ac:dyDescent="0.45">
      <c r="A352">
        <v>350</v>
      </c>
      <c r="B352" t="s">
        <v>7</v>
      </c>
      <c r="C352" s="3">
        <v>912259.78350899403</v>
      </c>
      <c r="D352" s="3">
        <v>706422.77</v>
      </c>
      <c r="E352" s="3">
        <v>636768.40040192904</v>
      </c>
      <c r="F352" s="3">
        <v>1204788.3414598301</v>
      </c>
      <c r="G352" s="1">
        <v>44561</v>
      </c>
      <c r="H352" s="2">
        <v>44470</v>
      </c>
    </row>
    <row r="353" spans="1:8" hidden="1" x14ac:dyDescent="0.45">
      <c r="A353">
        <v>351</v>
      </c>
      <c r="B353" t="s">
        <v>7</v>
      </c>
      <c r="C353" s="3">
        <v>2826672.7691488499</v>
      </c>
      <c r="D353" s="3">
        <v>3115611.92</v>
      </c>
      <c r="E353" s="3">
        <v>2327269.1320541301</v>
      </c>
      <c r="F353" s="3">
        <v>3336221.1346674799</v>
      </c>
      <c r="G353" s="1">
        <v>44561</v>
      </c>
      <c r="H353" s="2">
        <v>44501</v>
      </c>
    </row>
    <row r="354" spans="1:8" hidden="1" x14ac:dyDescent="0.45">
      <c r="A354">
        <v>352</v>
      </c>
      <c r="B354" t="s">
        <v>7</v>
      </c>
      <c r="C354" s="3">
        <v>490032.75110684801</v>
      </c>
      <c r="D354" s="3">
        <v>227049.91</v>
      </c>
      <c r="E354" s="3">
        <v>293247.632276572</v>
      </c>
      <c r="F354" s="3">
        <v>700916.15906156495</v>
      </c>
      <c r="G354" s="1">
        <v>44561</v>
      </c>
      <c r="H354" s="2">
        <v>44531</v>
      </c>
    </row>
    <row r="355" spans="1:8" hidden="1" x14ac:dyDescent="0.45">
      <c r="A355">
        <v>353</v>
      </c>
      <c r="B355" t="s">
        <v>8</v>
      </c>
      <c r="C355" s="3">
        <v>1783417.91827432</v>
      </c>
      <c r="D355" s="3">
        <v>1196403.8899999999</v>
      </c>
      <c r="E355" s="3">
        <v>640359.95550074102</v>
      </c>
      <c r="F355" s="3">
        <v>3249141.7419830002</v>
      </c>
      <c r="G355" s="1">
        <v>44561</v>
      </c>
      <c r="H355" s="2">
        <v>44562</v>
      </c>
    </row>
    <row r="356" spans="1:8" hidden="1" x14ac:dyDescent="0.45">
      <c r="A356">
        <v>354</v>
      </c>
      <c r="B356" t="s">
        <v>8</v>
      </c>
      <c r="C356" s="3">
        <v>1347379.6128312801</v>
      </c>
      <c r="D356" s="3">
        <v>913554.14</v>
      </c>
      <c r="E356" s="3">
        <v>485726.26182759902</v>
      </c>
      <c r="F356" s="3">
        <v>2329988.7622857601</v>
      </c>
      <c r="G356" s="1">
        <v>44561</v>
      </c>
      <c r="H356" s="2">
        <v>44593</v>
      </c>
    </row>
    <row r="357" spans="1:8" hidden="1" x14ac:dyDescent="0.45">
      <c r="A357">
        <v>355</v>
      </c>
      <c r="B357" t="s">
        <v>8</v>
      </c>
      <c r="C357" s="3">
        <v>1198977.77373596</v>
      </c>
      <c r="D357" s="3">
        <v>2516741.5</v>
      </c>
      <c r="E357" s="3">
        <v>416277.34312201</v>
      </c>
      <c r="F357" s="3">
        <v>2150301.0021576402</v>
      </c>
      <c r="G357" s="1">
        <v>44561</v>
      </c>
      <c r="H357" s="2">
        <v>44621</v>
      </c>
    </row>
    <row r="358" spans="1:8" hidden="1" x14ac:dyDescent="0.45">
      <c r="A358">
        <v>356</v>
      </c>
      <c r="B358" t="s">
        <v>8</v>
      </c>
      <c r="C358" s="3">
        <v>1109862.6680916799</v>
      </c>
      <c r="D358" s="3">
        <v>74319.839999999997</v>
      </c>
      <c r="E358" s="3">
        <v>392626.47642714903</v>
      </c>
      <c r="F358" s="3">
        <v>2010845.1943101599</v>
      </c>
      <c r="G358" s="1">
        <v>44561</v>
      </c>
      <c r="H358" s="2">
        <v>44652</v>
      </c>
    </row>
    <row r="359" spans="1:8" hidden="1" x14ac:dyDescent="0.45">
      <c r="A359">
        <v>357</v>
      </c>
      <c r="B359" t="s">
        <v>8</v>
      </c>
      <c r="C359" s="3">
        <v>1765667.3824305199</v>
      </c>
      <c r="D359" s="3">
        <v>497854.11</v>
      </c>
      <c r="E359" s="3">
        <v>817226.08113217505</v>
      </c>
      <c r="F359" s="3">
        <v>2878367.0684052301</v>
      </c>
      <c r="G359" s="1">
        <v>44561</v>
      </c>
      <c r="H359" s="2">
        <v>44682</v>
      </c>
    </row>
    <row r="360" spans="1:8" hidden="1" x14ac:dyDescent="0.45">
      <c r="A360">
        <v>358</v>
      </c>
      <c r="B360" t="s">
        <v>8</v>
      </c>
      <c r="C360" s="3">
        <v>3769788.8514751801</v>
      </c>
      <c r="D360" s="3">
        <v>1147934.77</v>
      </c>
      <c r="E360" s="3">
        <v>2212198.9684550702</v>
      </c>
      <c r="F360" s="3">
        <v>5265237.5194466496</v>
      </c>
      <c r="G360" s="1">
        <v>44561</v>
      </c>
      <c r="H360" s="2">
        <v>44713</v>
      </c>
    </row>
    <row r="361" spans="1:8" hidden="1" x14ac:dyDescent="0.45">
      <c r="A361">
        <v>359</v>
      </c>
      <c r="B361" t="s">
        <v>8</v>
      </c>
      <c r="C361" s="3">
        <v>4404248.6351275602</v>
      </c>
      <c r="D361" s="3">
        <v>662924.74</v>
      </c>
      <c r="E361" s="3">
        <v>2973627.6941747898</v>
      </c>
      <c r="F361" s="3">
        <v>5902531.9235213799</v>
      </c>
      <c r="G361" s="1">
        <v>44561</v>
      </c>
      <c r="H361" s="2">
        <v>44743</v>
      </c>
    </row>
    <row r="362" spans="1:8" hidden="1" x14ac:dyDescent="0.45">
      <c r="A362">
        <v>360</v>
      </c>
      <c r="B362" t="s">
        <v>8</v>
      </c>
      <c r="C362" s="3">
        <v>1992793.4791834799</v>
      </c>
      <c r="D362" s="3">
        <v>1023855.98</v>
      </c>
      <c r="E362" s="3">
        <v>1143231.94365395</v>
      </c>
      <c r="F362" s="3">
        <v>2928163.6415514899</v>
      </c>
      <c r="G362" s="1">
        <v>44561</v>
      </c>
      <c r="H362" s="2">
        <v>44774</v>
      </c>
    </row>
    <row r="363" spans="1:8" hidden="1" x14ac:dyDescent="0.45">
      <c r="A363">
        <v>361</v>
      </c>
      <c r="B363" t="s">
        <v>8</v>
      </c>
      <c r="C363" s="3">
        <v>2941598.7386282999</v>
      </c>
      <c r="D363" s="3">
        <v>709058.98</v>
      </c>
      <c r="E363" s="3">
        <v>1874746.8515111799</v>
      </c>
      <c r="F363" s="3">
        <v>4034068.12141287</v>
      </c>
      <c r="G363" s="1">
        <v>44561</v>
      </c>
      <c r="H363" s="2">
        <v>44805</v>
      </c>
    </row>
    <row r="364" spans="1:8" hidden="1" x14ac:dyDescent="0.45">
      <c r="A364">
        <v>362</v>
      </c>
      <c r="B364" t="s">
        <v>8</v>
      </c>
      <c r="C364" s="3">
        <v>1636938.0475216</v>
      </c>
      <c r="D364" s="3">
        <v>675343.65</v>
      </c>
      <c r="E364" s="3">
        <v>979707.91454734805</v>
      </c>
      <c r="F364" s="3">
        <v>2390210.4074399802</v>
      </c>
      <c r="G364" s="1">
        <v>44561</v>
      </c>
      <c r="H364" s="2">
        <v>44835</v>
      </c>
    </row>
    <row r="365" spans="1:8" hidden="1" x14ac:dyDescent="0.45">
      <c r="A365">
        <v>363</v>
      </c>
      <c r="B365" t="s">
        <v>8</v>
      </c>
      <c r="C365" s="3">
        <v>4492340.1528308596</v>
      </c>
      <c r="D365" s="3">
        <v>1343290.93</v>
      </c>
      <c r="E365" s="3">
        <v>3343425.9110010001</v>
      </c>
      <c r="F365" s="3">
        <v>5703281.2095081396</v>
      </c>
      <c r="G365" s="1">
        <v>44561</v>
      </c>
      <c r="H365" s="2">
        <v>44866</v>
      </c>
    </row>
    <row r="366" spans="1:8" hidden="1" x14ac:dyDescent="0.45">
      <c r="A366">
        <v>364</v>
      </c>
      <c r="B366" t="s">
        <v>8</v>
      </c>
      <c r="C366" s="3">
        <v>602828.87294927798</v>
      </c>
      <c r="D366" s="3">
        <v>243439.269999999</v>
      </c>
      <c r="E366" s="3">
        <v>325779.23529834399</v>
      </c>
      <c r="F366" s="3">
        <v>920355.87544466194</v>
      </c>
      <c r="G366" s="1">
        <v>44561</v>
      </c>
      <c r="H366" s="2">
        <v>44896</v>
      </c>
    </row>
    <row r="367" spans="1:8" hidden="1" x14ac:dyDescent="0.45">
      <c r="A367">
        <v>365</v>
      </c>
      <c r="B367" t="s">
        <v>8</v>
      </c>
      <c r="C367" s="3">
        <v>2232982.13731586</v>
      </c>
      <c r="D367" s="3">
        <v>749519.69</v>
      </c>
      <c r="E367" s="3">
        <v>777092.66284159699</v>
      </c>
      <c r="F367" s="3">
        <v>4164206.2941849199</v>
      </c>
      <c r="G367" s="1">
        <v>44561</v>
      </c>
      <c r="H367" s="2">
        <v>44927</v>
      </c>
    </row>
    <row r="368" spans="1:8" hidden="1" x14ac:dyDescent="0.45">
      <c r="A368">
        <v>366</v>
      </c>
      <c r="B368" t="s">
        <v>8</v>
      </c>
      <c r="C368" s="3">
        <v>1652003.6321710399</v>
      </c>
      <c r="D368" s="3">
        <v>689860.1</v>
      </c>
      <c r="E368" s="3">
        <v>541212.97185517999</v>
      </c>
      <c r="F368" s="3">
        <v>2957437.7554751602</v>
      </c>
      <c r="G368" s="1">
        <v>44561</v>
      </c>
      <c r="H368" s="2">
        <v>44958</v>
      </c>
    </row>
    <row r="369" spans="1:8" hidden="1" x14ac:dyDescent="0.45">
      <c r="A369">
        <v>367</v>
      </c>
      <c r="B369" t="s">
        <v>8</v>
      </c>
      <c r="C369" s="3">
        <v>1458944.7794425599</v>
      </c>
      <c r="D369" s="3">
        <v>409542.14</v>
      </c>
      <c r="E369" s="3">
        <v>445331.275445598</v>
      </c>
      <c r="F369" s="3">
        <v>2660466.93999985</v>
      </c>
      <c r="G369" s="1">
        <v>44561</v>
      </c>
      <c r="H369" s="2">
        <v>44986</v>
      </c>
    </row>
    <row r="370" spans="1:8" hidden="1" x14ac:dyDescent="0.45">
      <c r="A370">
        <v>368</v>
      </c>
      <c r="B370" t="s">
        <v>8</v>
      </c>
      <c r="C370" s="3">
        <v>1318555.4715805</v>
      </c>
      <c r="D370" s="3">
        <v>731526.01</v>
      </c>
      <c r="E370" s="3">
        <v>423359.22212908498</v>
      </c>
      <c r="F370" s="3">
        <v>2444444.4378380501</v>
      </c>
      <c r="G370" s="1">
        <v>44561</v>
      </c>
      <c r="H370" s="2">
        <v>45017</v>
      </c>
    </row>
    <row r="371" spans="1:8" hidden="1" x14ac:dyDescent="0.45">
      <c r="A371">
        <v>369</v>
      </c>
      <c r="B371" t="s">
        <v>8</v>
      </c>
      <c r="C371" s="3">
        <v>2052952.9107788</v>
      </c>
      <c r="D371" s="3">
        <v>699947.51999999897</v>
      </c>
      <c r="E371" s="3">
        <v>852485.31216175796</v>
      </c>
      <c r="F371" s="3">
        <v>3394343.9256216101</v>
      </c>
      <c r="G371" s="1">
        <v>44561</v>
      </c>
      <c r="H371" s="2">
        <v>45047</v>
      </c>
    </row>
    <row r="372" spans="1:8" hidden="1" x14ac:dyDescent="0.45">
      <c r="A372">
        <v>370</v>
      </c>
      <c r="B372" t="s">
        <v>8</v>
      </c>
      <c r="C372" s="3">
        <v>4290388.4063525302</v>
      </c>
      <c r="D372" s="3">
        <v>627418.93999999994</v>
      </c>
      <c r="E372" s="3">
        <v>2398219.1009487398</v>
      </c>
      <c r="F372" s="3">
        <v>6137477.0169813503</v>
      </c>
      <c r="G372" s="1">
        <v>44561</v>
      </c>
      <c r="H372" s="2">
        <v>45078</v>
      </c>
    </row>
    <row r="373" spans="1:8" hidden="1" x14ac:dyDescent="0.45">
      <c r="A373">
        <v>371</v>
      </c>
      <c r="B373" t="s">
        <v>8</v>
      </c>
      <c r="C373" s="3">
        <v>5011196.8192271898</v>
      </c>
      <c r="D373" s="3">
        <v>651921.55999999901</v>
      </c>
      <c r="E373" s="3">
        <v>3219221.2390280701</v>
      </c>
      <c r="F373" s="3">
        <v>6965160.7756000301</v>
      </c>
      <c r="G373" s="1">
        <v>44561</v>
      </c>
      <c r="H373" s="2">
        <v>45108</v>
      </c>
    </row>
    <row r="374" spans="1:8" hidden="1" x14ac:dyDescent="0.45">
      <c r="A374">
        <v>372</v>
      </c>
      <c r="B374" t="s">
        <v>8</v>
      </c>
      <c r="C374" s="3">
        <v>2266259.696306</v>
      </c>
      <c r="D374" s="3">
        <v>679902.08999999904</v>
      </c>
      <c r="E374" s="3">
        <v>1244411.77772368</v>
      </c>
      <c r="F374" s="3">
        <v>3401089.5092573599</v>
      </c>
      <c r="G374" s="1">
        <v>44561</v>
      </c>
      <c r="H374" s="2">
        <v>45139</v>
      </c>
    </row>
    <row r="375" spans="1:8" hidden="1" x14ac:dyDescent="0.45">
      <c r="A375">
        <v>373</v>
      </c>
      <c r="B375" t="s">
        <v>8</v>
      </c>
      <c r="C375" s="3">
        <v>3344203.3157648598</v>
      </c>
      <c r="D375" s="3">
        <v>722803.83</v>
      </c>
      <c r="E375" s="3">
        <v>2081212.9504482099</v>
      </c>
      <c r="F375" s="3">
        <v>4713884.3949084803</v>
      </c>
      <c r="G375" s="1">
        <v>44561</v>
      </c>
      <c r="H375" s="2">
        <v>45170</v>
      </c>
    </row>
    <row r="376" spans="1:8" hidden="1" x14ac:dyDescent="0.45">
      <c r="A376">
        <v>374</v>
      </c>
      <c r="B376" t="s">
        <v>8</v>
      </c>
      <c r="C376" s="3">
        <v>1863195.25145765</v>
      </c>
      <c r="D376" s="3">
        <v>645695.66</v>
      </c>
      <c r="E376" s="3">
        <v>1060522.5978621601</v>
      </c>
      <c r="F376" s="3">
        <v>2747228.6142748599</v>
      </c>
      <c r="G376" s="1">
        <v>44561</v>
      </c>
      <c r="H376" s="2">
        <v>45200</v>
      </c>
    </row>
    <row r="377" spans="1:8" hidden="1" x14ac:dyDescent="0.45">
      <c r="A377">
        <v>375</v>
      </c>
      <c r="B377" t="s">
        <v>8</v>
      </c>
      <c r="C377" s="3">
        <v>5105580.0387161197</v>
      </c>
      <c r="D377" s="3">
        <v>1040055.83</v>
      </c>
      <c r="E377" s="3">
        <v>3571294.13746583</v>
      </c>
      <c r="F377" s="3">
        <v>6752113.1673984705</v>
      </c>
      <c r="G377" s="1">
        <v>44561</v>
      </c>
      <c r="H377" s="2">
        <v>45231</v>
      </c>
    </row>
    <row r="378" spans="1:8" hidden="1" x14ac:dyDescent="0.45">
      <c r="A378">
        <v>376</v>
      </c>
      <c r="B378" t="s">
        <v>8</v>
      </c>
      <c r="C378" s="3">
        <v>684594.14029887703</v>
      </c>
      <c r="D378" s="3">
        <v>448241.12</v>
      </c>
      <c r="E378" s="3">
        <v>354919.84846250201</v>
      </c>
      <c r="F378" s="3">
        <v>1062797.8214525699</v>
      </c>
      <c r="G378" s="1">
        <v>44561</v>
      </c>
      <c r="H378" s="2">
        <v>45261</v>
      </c>
    </row>
    <row r="379" spans="1:8" hidden="1" x14ac:dyDescent="0.45">
      <c r="A379">
        <v>377</v>
      </c>
      <c r="B379" t="s">
        <v>8</v>
      </c>
      <c r="C379" s="3">
        <v>2540898.3750589201</v>
      </c>
      <c r="D379" s="3">
        <v>737076.049999999</v>
      </c>
      <c r="E379" s="3">
        <v>842856.92504733603</v>
      </c>
      <c r="F379" s="3">
        <v>4770353.2043805197</v>
      </c>
      <c r="G379" s="1">
        <v>44561</v>
      </c>
      <c r="H379" s="2">
        <v>45292</v>
      </c>
    </row>
    <row r="380" spans="1:8" hidden="1" x14ac:dyDescent="0.45">
      <c r="A380">
        <v>378</v>
      </c>
      <c r="B380" t="s">
        <v>8</v>
      </c>
      <c r="C380" s="3">
        <v>1882241.01513537</v>
      </c>
      <c r="D380" s="3">
        <v>470062.75</v>
      </c>
      <c r="E380" s="3">
        <v>598499.50157737697</v>
      </c>
      <c r="F380" s="3">
        <v>3394622.7635117201</v>
      </c>
      <c r="G380" s="1">
        <v>44561</v>
      </c>
      <c r="H380" s="2">
        <v>45323</v>
      </c>
    </row>
    <row r="381" spans="1:8" hidden="1" x14ac:dyDescent="0.45">
      <c r="A381">
        <v>379</v>
      </c>
      <c r="B381" t="s">
        <v>8</v>
      </c>
      <c r="C381" s="3">
        <v>1664551.7675948299</v>
      </c>
      <c r="D381" s="3">
        <v>485166.64</v>
      </c>
      <c r="E381" s="3">
        <v>504457.22917833802</v>
      </c>
      <c r="F381" s="3">
        <v>3093792.0201537302</v>
      </c>
      <c r="G381" s="1">
        <v>44561</v>
      </c>
      <c r="H381" s="2">
        <v>45352</v>
      </c>
    </row>
    <row r="382" spans="1:8" hidden="1" x14ac:dyDescent="0.45">
      <c r="A382">
        <v>380</v>
      </c>
      <c r="B382" t="s">
        <v>8</v>
      </c>
      <c r="C382" s="3">
        <v>1505722.2490363501</v>
      </c>
      <c r="D382" s="3">
        <v>729359.03</v>
      </c>
      <c r="E382" s="3">
        <v>457205.31000166998</v>
      </c>
      <c r="F382" s="3">
        <v>2816860.3514112998</v>
      </c>
      <c r="G382" s="1">
        <v>44561</v>
      </c>
      <c r="H382" s="2">
        <v>45383</v>
      </c>
    </row>
    <row r="383" spans="1:8" hidden="1" x14ac:dyDescent="0.45">
      <c r="A383">
        <v>381</v>
      </c>
      <c r="B383" t="s">
        <v>8</v>
      </c>
      <c r="C383" s="3">
        <v>2344040.1013639001</v>
      </c>
      <c r="D383" s="3">
        <v>389768.64</v>
      </c>
      <c r="E383" s="3">
        <v>952152.36331296503</v>
      </c>
      <c r="F383" s="3">
        <v>3974934.6898670699</v>
      </c>
      <c r="G383" s="1">
        <v>44561</v>
      </c>
      <c r="H383" s="2">
        <v>45413</v>
      </c>
    </row>
    <row r="384" spans="1:8" hidden="1" x14ac:dyDescent="0.45">
      <c r="A384">
        <v>382</v>
      </c>
      <c r="B384" t="s">
        <v>8</v>
      </c>
      <c r="C384" s="3">
        <v>4897342.96394681</v>
      </c>
      <c r="D384" s="3">
        <v>435996.96</v>
      </c>
      <c r="E384" s="3">
        <v>2607752.53719057</v>
      </c>
      <c r="F384" s="3">
        <v>7269062.2605903298</v>
      </c>
      <c r="G384" s="1">
        <v>44561</v>
      </c>
      <c r="H384" s="2">
        <v>45444</v>
      </c>
    </row>
    <row r="385" spans="1:8" hidden="1" x14ac:dyDescent="0.45">
      <c r="A385">
        <v>383</v>
      </c>
      <c r="B385" t="s">
        <v>8</v>
      </c>
      <c r="C385" s="3">
        <v>5726331.1180575797</v>
      </c>
      <c r="D385" s="3">
        <v>464571.25</v>
      </c>
      <c r="E385" s="3">
        <v>3408501.3659478002</v>
      </c>
      <c r="F385" s="3">
        <v>8247318.8144150404</v>
      </c>
      <c r="G385" s="1">
        <v>44561</v>
      </c>
      <c r="H385" s="2">
        <v>45474</v>
      </c>
    </row>
    <row r="386" spans="1:8" hidden="1" x14ac:dyDescent="0.45">
      <c r="A386">
        <v>384</v>
      </c>
      <c r="B386" t="s">
        <v>8</v>
      </c>
      <c r="C386" s="3">
        <v>2587894.44337</v>
      </c>
      <c r="D386" s="3">
        <v>425194.66</v>
      </c>
      <c r="E386" s="3">
        <v>1327727.4644456401</v>
      </c>
      <c r="F386" s="3">
        <v>3981570.7375460002</v>
      </c>
      <c r="G386" s="1">
        <v>44561</v>
      </c>
      <c r="H386" s="2">
        <v>45505</v>
      </c>
    </row>
    <row r="387" spans="1:8" hidden="1" x14ac:dyDescent="0.45">
      <c r="A387">
        <v>385</v>
      </c>
      <c r="B387" t="s">
        <v>8</v>
      </c>
      <c r="C387" s="3">
        <v>3820748.4853562498</v>
      </c>
      <c r="D387" s="3">
        <v>793093.44</v>
      </c>
      <c r="E387" s="3">
        <v>2194241.8507959102</v>
      </c>
      <c r="F387" s="3">
        <v>5554720.5534643698</v>
      </c>
      <c r="G387" s="1">
        <v>44561</v>
      </c>
      <c r="H387" s="2">
        <v>45536</v>
      </c>
    </row>
    <row r="388" spans="1:8" hidden="1" x14ac:dyDescent="0.45">
      <c r="A388">
        <v>386</v>
      </c>
      <c r="B388" t="s">
        <v>8</v>
      </c>
      <c r="C388" s="3">
        <v>2131773.06519356</v>
      </c>
      <c r="D388" s="3">
        <v>324121.39999999898</v>
      </c>
      <c r="E388" s="3">
        <v>1126590.58863067</v>
      </c>
      <c r="F388" s="3">
        <v>3252560.84039729</v>
      </c>
      <c r="G388" s="1">
        <v>44561</v>
      </c>
      <c r="H388" s="2">
        <v>45566</v>
      </c>
    </row>
    <row r="389" spans="1:8" hidden="1" x14ac:dyDescent="0.45">
      <c r="A389">
        <v>387</v>
      </c>
      <c r="B389" t="s">
        <v>8</v>
      </c>
      <c r="C389" s="3">
        <v>5846038.8991767904</v>
      </c>
      <c r="D389" s="3"/>
      <c r="E389" s="3">
        <v>3760845.2590960399</v>
      </c>
      <c r="F389" s="3">
        <v>8199578.80798232</v>
      </c>
      <c r="G389" s="1">
        <v>44561</v>
      </c>
      <c r="H389" s="2">
        <v>45597</v>
      </c>
    </row>
    <row r="390" spans="1:8" hidden="1" x14ac:dyDescent="0.45">
      <c r="A390">
        <v>388</v>
      </c>
      <c r="B390" t="s">
        <v>8</v>
      </c>
      <c r="C390" s="3">
        <v>783531.80091800098</v>
      </c>
      <c r="D390" s="3"/>
      <c r="E390" s="3">
        <v>383411.74020018597</v>
      </c>
      <c r="F390" s="3">
        <v>1256010.5872241701</v>
      </c>
      <c r="G390" s="1">
        <v>44561</v>
      </c>
      <c r="H390" s="2">
        <v>45627</v>
      </c>
    </row>
    <row r="391" spans="1:8" hidden="1" x14ac:dyDescent="0.45">
      <c r="A391">
        <v>389</v>
      </c>
      <c r="B391" t="s">
        <v>8</v>
      </c>
      <c r="C391" s="3">
        <v>2913581.3528962499</v>
      </c>
      <c r="D391" s="3"/>
      <c r="E391" s="3">
        <v>884301.04594006203</v>
      </c>
      <c r="F391" s="3">
        <v>5557255.6883963104</v>
      </c>
      <c r="G391" s="1">
        <v>44561</v>
      </c>
      <c r="H391" s="2">
        <v>45658</v>
      </c>
    </row>
    <row r="392" spans="1:8" hidden="1" x14ac:dyDescent="0.45">
      <c r="A392">
        <v>390</v>
      </c>
      <c r="B392" t="s">
        <v>8</v>
      </c>
      <c r="C392" s="3">
        <v>2158908.22824788</v>
      </c>
      <c r="D392" s="3"/>
      <c r="E392" s="3">
        <v>663481.49993963796</v>
      </c>
      <c r="F392" s="3">
        <v>3995673.0217539002</v>
      </c>
      <c r="G392" s="1">
        <v>44561</v>
      </c>
      <c r="H392" s="2">
        <v>45689</v>
      </c>
    </row>
    <row r="393" spans="1:8" hidden="1" x14ac:dyDescent="0.45">
      <c r="A393">
        <v>391</v>
      </c>
      <c r="B393" t="s">
        <v>8</v>
      </c>
      <c r="C393" s="3">
        <v>1911407.97753834</v>
      </c>
      <c r="D393" s="3"/>
      <c r="E393" s="3">
        <v>530835.316781334</v>
      </c>
      <c r="F393" s="3">
        <v>3621501.7625805899</v>
      </c>
      <c r="G393" s="1">
        <v>44561</v>
      </c>
      <c r="H393" s="2">
        <v>45717</v>
      </c>
    </row>
    <row r="394" spans="1:8" hidden="1" x14ac:dyDescent="0.45">
      <c r="A394">
        <v>392</v>
      </c>
      <c r="B394" t="s">
        <v>8</v>
      </c>
      <c r="C394" s="3">
        <v>1729683.98782599</v>
      </c>
      <c r="D394" s="3"/>
      <c r="E394" s="3">
        <v>491550.850011851</v>
      </c>
      <c r="F394" s="3">
        <v>3298524.4649690399</v>
      </c>
      <c r="G394" s="1">
        <v>44561</v>
      </c>
      <c r="H394" s="2">
        <v>45748</v>
      </c>
    </row>
    <row r="395" spans="1:8" hidden="1" x14ac:dyDescent="0.45">
      <c r="A395">
        <v>393</v>
      </c>
      <c r="B395" t="s">
        <v>8</v>
      </c>
      <c r="C395" s="3">
        <v>2691602.8691831701</v>
      </c>
      <c r="D395" s="3"/>
      <c r="E395" s="3">
        <v>995519.76082524296</v>
      </c>
      <c r="F395" s="3">
        <v>4665110.33013881</v>
      </c>
      <c r="G395" s="1">
        <v>44561</v>
      </c>
      <c r="H395" s="2">
        <v>45778</v>
      </c>
    </row>
    <row r="396" spans="1:8" hidden="1" x14ac:dyDescent="0.45">
      <c r="A396">
        <v>394</v>
      </c>
      <c r="B396" t="s">
        <v>8</v>
      </c>
      <c r="C396" s="3">
        <v>5625673.4527669996</v>
      </c>
      <c r="D396" s="3"/>
      <c r="E396" s="3">
        <v>2732322.4163280101</v>
      </c>
      <c r="F396" s="3">
        <v>8733862.93439788</v>
      </c>
      <c r="G396" s="1">
        <v>44561</v>
      </c>
      <c r="H396" s="2">
        <v>45809</v>
      </c>
    </row>
    <row r="397" spans="1:8" hidden="1" x14ac:dyDescent="0.45">
      <c r="A397">
        <v>395</v>
      </c>
      <c r="B397" t="s">
        <v>8</v>
      </c>
      <c r="C397" s="3">
        <v>6582388.2416479997</v>
      </c>
      <c r="D397" s="3"/>
      <c r="E397" s="3">
        <v>3546508.1470240601</v>
      </c>
      <c r="F397" s="3">
        <v>9970088.3566976395</v>
      </c>
      <c r="G397" s="1">
        <v>44561</v>
      </c>
      <c r="H397" s="2">
        <v>45839</v>
      </c>
    </row>
    <row r="398" spans="1:8" hidden="1" x14ac:dyDescent="0.45">
      <c r="A398">
        <v>396</v>
      </c>
      <c r="B398" t="s">
        <v>8</v>
      </c>
      <c r="C398" s="3">
        <v>2975215.91973277</v>
      </c>
      <c r="D398" s="3"/>
      <c r="E398" s="3">
        <v>1434324.7609977201</v>
      </c>
      <c r="F398" s="3">
        <v>4812497.2985042902</v>
      </c>
      <c r="G398" s="1">
        <v>44561</v>
      </c>
      <c r="H398" s="2">
        <v>45870</v>
      </c>
    </row>
    <row r="399" spans="1:8" hidden="1" x14ac:dyDescent="0.45">
      <c r="A399">
        <v>397</v>
      </c>
      <c r="B399" t="s">
        <v>8</v>
      </c>
      <c r="C399" s="3">
        <v>4395245.2362158503</v>
      </c>
      <c r="D399" s="3"/>
      <c r="E399" s="3">
        <v>2260254.5429779701</v>
      </c>
      <c r="F399" s="3">
        <v>6709712.7435939005</v>
      </c>
      <c r="G399" s="1">
        <v>44561</v>
      </c>
      <c r="H399" s="2">
        <v>45901</v>
      </c>
    </row>
    <row r="400" spans="1:8" hidden="1" x14ac:dyDescent="0.45">
      <c r="A400">
        <v>398</v>
      </c>
      <c r="B400" t="s">
        <v>8</v>
      </c>
      <c r="C400" s="3">
        <v>2454230.69441002</v>
      </c>
      <c r="D400" s="3"/>
      <c r="E400" s="3">
        <v>1210037.5107591299</v>
      </c>
      <c r="F400" s="3">
        <v>3937704.5571691901</v>
      </c>
      <c r="G400" s="1">
        <v>44561</v>
      </c>
      <c r="H400" s="2">
        <v>45931</v>
      </c>
    </row>
    <row r="401" spans="1:8" hidden="1" x14ac:dyDescent="0.45">
      <c r="A401">
        <v>399</v>
      </c>
      <c r="B401" t="s">
        <v>7</v>
      </c>
      <c r="C401" s="3">
        <v>97489.701914049496</v>
      </c>
      <c r="D401" s="3">
        <v>28250.62</v>
      </c>
      <c r="E401" s="3">
        <v>44193.814850584502</v>
      </c>
      <c r="F401" s="3">
        <v>157468.66564907899</v>
      </c>
      <c r="G401" s="1">
        <v>44592</v>
      </c>
      <c r="H401" s="2">
        <v>44228</v>
      </c>
    </row>
    <row r="402" spans="1:8" hidden="1" x14ac:dyDescent="0.45">
      <c r="A402">
        <v>400</v>
      </c>
      <c r="B402" t="s">
        <v>7</v>
      </c>
      <c r="C402" s="3">
        <v>109746.11100489501</v>
      </c>
      <c r="D402" s="3">
        <v>36247.919999999998</v>
      </c>
      <c r="E402" s="3">
        <v>46174.035508578701</v>
      </c>
      <c r="F402" s="3">
        <v>176888.584130476</v>
      </c>
      <c r="G402" s="1">
        <v>44592</v>
      </c>
      <c r="H402" s="2">
        <v>44256</v>
      </c>
    </row>
    <row r="403" spans="1:8" hidden="1" x14ac:dyDescent="0.45">
      <c r="A403">
        <v>401</v>
      </c>
      <c r="B403" t="s">
        <v>7</v>
      </c>
      <c r="C403" s="3">
        <v>114842.033002311</v>
      </c>
      <c r="D403" s="3">
        <v>14721.48</v>
      </c>
      <c r="E403" s="3">
        <v>48445.357144048699</v>
      </c>
      <c r="F403" s="3">
        <v>187656.55727806001</v>
      </c>
      <c r="G403" s="1">
        <v>44592</v>
      </c>
      <c r="H403" s="2">
        <v>44287</v>
      </c>
    </row>
    <row r="404" spans="1:8" hidden="1" x14ac:dyDescent="0.45">
      <c r="A404">
        <v>402</v>
      </c>
      <c r="B404" t="s">
        <v>7</v>
      </c>
      <c r="C404" s="3">
        <v>214535.83281162899</v>
      </c>
      <c r="D404" s="3">
        <v>94346.71</v>
      </c>
      <c r="E404" s="3">
        <v>110640.038313135</v>
      </c>
      <c r="F404" s="3">
        <v>321162.80042204697</v>
      </c>
      <c r="G404" s="1">
        <v>44592</v>
      </c>
      <c r="H404" s="2">
        <v>44317</v>
      </c>
    </row>
    <row r="405" spans="1:8" hidden="1" x14ac:dyDescent="0.45">
      <c r="A405">
        <v>403</v>
      </c>
      <c r="B405" t="s">
        <v>7</v>
      </c>
      <c r="C405" s="3">
        <v>757160.46037475404</v>
      </c>
      <c r="D405" s="3">
        <v>970740.72</v>
      </c>
      <c r="E405" s="3">
        <v>546377.88325884205</v>
      </c>
      <c r="F405" s="3">
        <v>973796.90065488894</v>
      </c>
      <c r="G405" s="1">
        <v>44592</v>
      </c>
      <c r="H405" s="2">
        <v>44348</v>
      </c>
    </row>
    <row r="406" spans="1:8" hidden="1" x14ac:dyDescent="0.45">
      <c r="A406">
        <v>404</v>
      </c>
      <c r="B406" t="s">
        <v>7</v>
      </c>
      <c r="C406" s="3">
        <v>1662370.3770888399</v>
      </c>
      <c r="D406" s="3">
        <v>1798271.24</v>
      </c>
      <c r="E406" s="3">
        <v>1321211.2025240001</v>
      </c>
      <c r="F406" s="3">
        <v>2009163.0760061101</v>
      </c>
      <c r="G406" s="1">
        <v>44592</v>
      </c>
      <c r="H406" s="2">
        <v>44378</v>
      </c>
    </row>
    <row r="407" spans="1:8" hidden="1" x14ac:dyDescent="0.45">
      <c r="A407">
        <v>405</v>
      </c>
      <c r="B407" t="s">
        <v>7</v>
      </c>
      <c r="C407" s="3">
        <v>886394.13852366002</v>
      </c>
      <c r="D407" s="3">
        <v>700449.31</v>
      </c>
      <c r="E407" s="3">
        <v>614336.60514324903</v>
      </c>
      <c r="F407" s="3">
        <v>1155910.1420443901</v>
      </c>
      <c r="G407" s="1">
        <v>44592</v>
      </c>
      <c r="H407" s="2">
        <v>44409</v>
      </c>
    </row>
    <row r="408" spans="1:8" hidden="1" x14ac:dyDescent="0.45">
      <c r="A408">
        <v>406</v>
      </c>
      <c r="B408" t="s">
        <v>7</v>
      </c>
      <c r="C408" s="3">
        <v>1443624.37511189</v>
      </c>
      <c r="D408" s="3">
        <v>1784906.52</v>
      </c>
      <c r="E408" s="3">
        <v>1076145.14472018</v>
      </c>
      <c r="F408" s="3">
        <v>1797309.8603863299</v>
      </c>
      <c r="G408" s="1">
        <v>44592</v>
      </c>
      <c r="H408" s="2">
        <v>44440</v>
      </c>
    </row>
    <row r="409" spans="1:8" hidden="1" x14ac:dyDescent="0.45">
      <c r="A409">
        <v>407</v>
      </c>
      <c r="B409" t="s">
        <v>7</v>
      </c>
      <c r="C409" s="3">
        <v>894040.76741491596</v>
      </c>
      <c r="D409" s="3">
        <v>706422.77</v>
      </c>
      <c r="E409" s="3">
        <v>623283.93411977496</v>
      </c>
      <c r="F409" s="3">
        <v>1185005.5627788899</v>
      </c>
      <c r="G409" s="1">
        <v>44592</v>
      </c>
      <c r="H409" s="2">
        <v>44470</v>
      </c>
    </row>
    <row r="410" spans="1:8" hidden="1" x14ac:dyDescent="0.45">
      <c r="A410">
        <v>408</v>
      </c>
      <c r="B410" t="s">
        <v>7</v>
      </c>
      <c r="C410" s="3">
        <v>2736870.4271356901</v>
      </c>
      <c r="D410" s="3">
        <v>3115611.92</v>
      </c>
      <c r="E410" s="3">
        <v>2239581.02134777</v>
      </c>
      <c r="F410" s="3">
        <v>3240102.7165170601</v>
      </c>
      <c r="G410" s="1">
        <v>44592</v>
      </c>
      <c r="H410" s="2">
        <v>44501</v>
      </c>
    </row>
    <row r="411" spans="1:8" hidden="1" x14ac:dyDescent="0.45">
      <c r="A411">
        <v>409</v>
      </c>
      <c r="B411" t="s">
        <v>7</v>
      </c>
      <c r="C411" s="3">
        <v>493440.72957491502</v>
      </c>
      <c r="D411" s="3">
        <v>227049.91</v>
      </c>
      <c r="E411" s="3">
        <v>303425.12474576599</v>
      </c>
      <c r="F411" s="3">
        <v>706589.76663938502</v>
      </c>
      <c r="G411" s="1">
        <v>44592</v>
      </c>
      <c r="H411" s="2">
        <v>44531</v>
      </c>
    </row>
    <row r="412" spans="1:8" hidden="1" x14ac:dyDescent="0.45">
      <c r="A412">
        <v>410</v>
      </c>
      <c r="B412" t="s">
        <v>7</v>
      </c>
      <c r="C412" s="3">
        <v>1306071.5458673199</v>
      </c>
      <c r="D412" s="3">
        <v>1231496.1499999999</v>
      </c>
      <c r="E412" s="3">
        <v>949452.22212821501</v>
      </c>
      <c r="F412" s="3">
        <v>1688352.42311028</v>
      </c>
      <c r="G412" s="1">
        <v>44592</v>
      </c>
      <c r="H412" s="2">
        <v>44562</v>
      </c>
    </row>
    <row r="413" spans="1:8" hidden="1" x14ac:dyDescent="0.45">
      <c r="A413">
        <v>411</v>
      </c>
      <c r="B413" t="s">
        <v>8</v>
      </c>
      <c r="C413" s="3">
        <v>1273981.52788043</v>
      </c>
      <c r="D413" s="3">
        <v>935528.82999999903</v>
      </c>
      <c r="E413" s="3">
        <v>433211.78865267098</v>
      </c>
      <c r="F413" s="3">
        <v>2172190.1597425099</v>
      </c>
      <c r="G413" s="1">
        <v>44592</v>
      </c>
      <c r="H413" s="2">
        <v>44593</v>
      </c>
    </row>
    <row r="414" spans="1:8" hidden="1" x14ac:dyDescent="0.45">
      <c r="A414">
        <v>412</v>
      </c>
      <c r="B414" t="s">
        <v>8</v>
      </c>
      <c r="C414" s="3">
        <v>1101797.5168281</v>
      </c>
      <c r="D414" s="3">
        <v>2558645.62</v>
      </c>
      <c r="E414" s="3">
        <v>423711.78394155699</v>
      </c>
      <c r="F414" s="3">
        <v>1944137.78174973</v>
      </c>
      <c r="G414" s="1">
        <v>44592</v>
      </c>
      <c r="H414" s="2">
        <v>44621</v>
      </c>
    </row>
    <row r="415" spans="1:8" hidden="1" x14ac:dyDescent="0.45">
      <c r="A415">
        <v>413</v>
      </c>
      <c r="B415" t="s">
        <v>8</v>
      </c>
      <c r="C415" s="3">
        <v>1056833.14620826</v>
      </c>
      <c r="D415" s="3">
        <v>76486.34</v>
      </c>
      <c r="E415" s="3">
        <v>389382.706923955</v>
      </c>
      <c r="F415" s="3">
        <v>1859406.9126300199</v>
      </c>
      <c r="G415" s="1">
        <v>44592</v>
      </c>
      <c r="H415" s="2">
        <v>44652</v>
      </c>
    </row>
    <row r="416" spans="1:8" hidden="1" x14ac:dyDescent="0.45">
      <c r="A416">
        <v>414</v>
      </c>
      <c r="B416" t="s">
        <v>8</v>
      </c>
      <c r="C416" s="3">
        <v>1558552.38961342</v>
      </c>
      <c r="D416" s="3">
        <v>503616.01</v>
      </c>
      <c r="E416" s="3">
        <v>726554.389005212</v>
      </c>
      <c r="F416" s="3">
        <v>2487476.3167502098</v>
      </c>
      <c r="G416" s="1">
        <v>44592</v>
      </c>
      <c r="H416" s="2">
        <v>44682</v>
      </c>
    </row>
    <row r="417" spans="1:8" hidden="1" x14ac:dyDescent="0.45">
      <c r="A417">
        <v>415</v>
      </c>
      <c r="B417" t="s">
        <v>8</v>
      </c>
      <c r="C417" s="3">
        <v>3328923.1695475001</v>
      </c>
      <c r="D417" s="3">
        <v>1158799.9099999999</v>
      </c>
      <c r="E417" s="3">
        <v>1899516.2302632199</v>
      </c>
      <c r="F417" s="3">
        <v>4752028.4744413402</v>
      </c>
      <c r="G417" s="1">
        <v>44592</v>
      </c>
      <c r="H417" s="2">
        <v>44713</v>
      </c>
    </row>
    <row r="418" spans="1:8" hidden="1" x14ac:dyDescent="0.45">
      <c r="A418">
        <v>416</v>
      </c>
      <c r="B418" t="s">
        <v>8</v>
      </c>
      <c r="C418" s="3">
        <v>3807041.5741490498</v>
      </c>
      <c r="D418" s="3">
        <v>671998.22</v>
      </c>
      <c r="E418" s="3">
        <v>2517572.74849287</v>
      </c>
      <c r="F418" s="3">
        <v>5199730.4682913804</v>
      </c>
      <c r="G418" s="1">
        <v>44592</v>
      </c>
      <c r="H418" s="2">
        <v>44743</v>
      </c>
    </row>
    <row r="419" spans="1:8" hidden="1" x14ac:dyDescent="0.45">
      <c r="A419">
        <v>417</v>
      </c>
      <c r="B419" t="s">
        <v>8</v>
      </c>
      <c r="C419" s="3">
        <v>1769263.95295747</v>
      </c>
      <c r="D419" s="3">
        <v>1032898.32</v>
      </c>
      <c r="E419" s="3">
        <v>1015611.87574709</v>
      </c>
      <c r="F419" s="3">
        <v>2577383.7097192602</v>
      </c>
      <c r="G419" s="1">
        <v>44592</v>
      </c>
      <c r="H419" s="2">
        <v>44774</v>
      </c>
    </row>
    <row r="420" spans="1:8" hidden="1" x14ac:dyDescent="0.45">
      <c r="A420">
        <v>418</v>
      </c>
      <c r="B420" t="s">
        <v>8</v>
      </c>
      <c r="C420" s="3">
        <v>2553065.3624378098</v>
      </c>
      <c r="D420" s="3">
        <v>720146.33</v>
      </c>
      <c r="E420" s="3">
        <v>1615142.84670543</v>
      </c>
      <c r="F420" s="3">
        <v>3613130.63245861</v>
      </c>
      <c r="G420" s="1">
        <v>44592</v>
      </c>
      <c r="H420" s="2">
        <v>44805</v>
      </c>
    </row>
    <row r="421" spans="1:8" hidden="1" x14ac:dyDescent="0.45">
      <c r="A421">
        <v>419</v>
      </c>
      <c r="B421" t="s">
        <v>8</v>
      </c>
      <c r="C421" s="3">
        <v>1464360.8486297</v>
      </c>
      <c r="D421" s="3">
        <v>685844.8</v>
      </c>
      <c r="E421" s="3">
        <v>845559.50742719602</v>
      </c>
      <c r="F421" s="3">
        <v>2218275.6868831199</v>
      </c>
      <c r="G421" s="1">
        <v>44592</v>
      </c>
      <c r="H421" s="2">
        <v>44835</v>
      </c>
    </row>
    <row r="422" spans="1:8" hidden="1" x14ac:dyDescent="0.45">
      <c r="A422">
        <v>420</v>
      </c>
      <c r="B422" t="s">
        <v>8</v>
      </c>
      <c r="C422" s="3">
        <v>3836553.5594068901</v>
      </c>
      <c r="D422" s="3">
        <v>1361746.09</v>
      </c>
      <c r="E422" s="3">
        <v>2817081.7190567702</v>
      </c>
      <c r="F422" s="3">
        <v>4951448.1026566401</v>
      </c>
      <c r="G422" s="1">
        <v>44592</v>
      </c>
      <c r="H422" s="2">
        <v>44866</v>
      </c>
    </row>
    <row r="423" spans="1:8" hidden="1" x14ac:dyDescent="0.45">
      <c r="A423">
        <v>421</v>
      </c>
      <c r="B423" t="s">
        <v>8</v>
      </c>
      <c r="C423" s="3">
        <v>562940.17264965898</v>
      </c>
      <c r="D423" s="3">
        <v>248808.94999999899</v>
      </c>
      <c r="E423" s="3">
        <v>307478.61622810003</v>
      </c>
      <c r="F423" s="3">
        <v>853308.38618878403</v>
      </c>
      <c r="G423" s="1">
        <v>44592</v>
      </c>
      <c r="H423" s="2">
        <v>44896</v>
      </c>
    </row>
    <row r="424" spans="1:8" hidden="1" x14ac:dyDescent="0.45">
      <c r="A424">
        <v>422</v>
      </c>
      <c r="B424" t="s">
        <v>8</v>
      </c>
      <c r="C424" s="3">
        <v>1543343.2821687399</v>
      </c>
      <c r="D424" s="3">
        <v>756381.3</v>
      </c>
      <c r="E424" s="3">
        <v>1005857.48455353</v>
      </c>
      <c r="F424" s="3">
        <v>2166349.0892449301</v>
      </c>
      <c r="G424" s="1">
        <v>44592</v>
      </c>
      <c r="H424" s="2">
        <v>44927</v>
      </c>
    </row>
    <row r="425" spans="1:8" hidden="1" x14ac:dyDescent="0.45">
      <c r="A425">
        <v>423</v>
      </c>
      <c r="B425" t="s">
        <v>8</v>
      </c>
      <c r="C425" s="3">
        <v>1399555.6270782801</v>
      </c>
      <c r="D425" s="3">
        <v>696110.14</v>
      </c>
      <c r="E425" s="3">
        <v>411971.81133520999</v>
      </c>
      <c r="F425" s="3">
        <v>2385948.6762442901</v>
      </c>
      <c r="G425" s="1">
        <v>44592</v>
      </c>
      <c r="H425" s="2">
        <v>44958</v>
      </c>
    </row>
    <row r="426" spans="1:8" hidden="1" x14ac:dyDescent="0.45">
      <c r="A426">
        <v>424</v>
      </c>
      <c r="B426" t="s">
        <v>8</v>
      </c>
      <c r="C426" s="3">
        <v>1194410.4028445401</v>
      </c>
      <c r="D426" s="3">
        <v>415203.54</v>
      </c>
      <c r="E426" s="3">
        <v>413825.97580289602</v>
      </c>
      <c r="F426" s="3">
        <v>2197697.2009369498</v>
      </c>
      <c r="G426" s="1">
        <v>44592</v>
      </c>
      <c r="H426" s="2">
        <v>44986</v>
      </c>
    </row>
    <row r="427" spans="1:8" hidden="1" x14ac:dyDescent="0.45">
      <c r="A427">
        <v>425</v>
      </c>
      <c r="B427" t="s">
        <v>8</v>
      </c>
      <c r="C427" s="3">
        <v>1113369.8707626699</v>
      </c>
      <c r="D427" s="3">
        <v>738934.72</v>
      </c>
      <c r="E427" s="3">
        <v>377997.21259130799</v>
      </c>
      <c r="F427" s="3">
        <v>2027375.40765061</v>
      </c>
      <c r="G427" s="1">
        <v>44592</v>
      </c>
      <c r="H427" s="2">
        <v>45017</v>
      </c>
    </row>
    <row r="428" spans="1:8" hidden="1" x14ac:dyDescent="0.45">
      <c r="A428">
        <v>426</v>
      </c>
      <c r="B428" t="s">
        <v>8</v>
      </c>
      <c r="C428" s="3">
        <v>1608312.51978481</v>
      </c>
      <c r="D428" s="3">
        <v>706667.19</v>
      </c>
      <c r="E428" s="3">
        <v>746610.82636463596</v>
      </c>
      <c r="F428" s="3">
        <v>2596268.77279056</v>
      </c>
      <c r="G428" s="1">
        <v>44592</v>
      </c>
      <c r="H428" s="2">
        <v>45047</v>
      </c>
    </row>
    <row r="429" spans="1:8" hidden="1" x14ac:dyDescent="0.45">
      <c r="A429">
        <v>427</v>
      </c>
      <c r="B429" t="s">
        <v>8</v>
      </c>
      <c r="C429" s="3">
        <v>3305322.1705604699</v>
      </c>
      <c r="D429" s="3">
        <v>632040.49</v>
      </c>
      <c r="E429" s="3">
        <v>1857127.34139841</v>
      </c>
      <c r="F429" s="3">
        <v>4841854.3841190701</v>
      </c>
      <c r="G429" s="1">
        <v>44592</v>
      </c>
      <c r="H429" s="2">
        <v>45078</v>
      </c>
    </row>
    <row r="430" spans="1:8" hidden="1" x14ac:dyDescent="0.45">
      <c r="A430">
        <v>428</v>
      </c>
      <c r="B430" t="s">
        <v>8</v>
      </c>
      <c r="C430" s="3">
        <v>3761783.3826807798</v>
      </c>
      <c r="D430" s="3">
        <v>657715.09</v>
      </c>
      <c r="E430" s="3">
        <v>2358690.4119263301</v>
      </c>
      <c r="F430" s="3">
        <v>5227727.6555532096</v>
      </c>
      <c r="G430" s="1">
        <v>44592</v>
      </c>
      <c r="H430" s="2">
        <v>45108</v>
      </c>
    </row>
    <row r="431" spans="1:8" hidden="1" x14ac:dyDescent="0.45">
      <c r="A431">
        <v>429</v>
      </c>
      <c r="B431" t="s">
        <v>8</v>
      </c>
      <c r="C431" s="3">
        <v>1759277.73211121</v>
      </c>
      <c r="D431" s="3">
        <v>686719.11999999895</v>
      </c>
      <c r="E431" s="3">
        <v>988887.87691569701</v>
      </c>
      <c r="F431" s="3">
        <v>2594212.9462091601</v>
      </c>
      <c r="G431" s="1">
        <v>44592</v>
      </c>
      <c r="H431" s="2">
        <v>45139</v>
      </c>
    </row>
    <row r="432" spans="1:8" hidden="1" x14ac:dyDescent="0.45">
      <c r="A432">
        <v>430</v>
      </c>
      <c r="B432" t="s">
        <v>8</v>
      </c>
      <c r="C432" s="3">
        <v>2516074.8863294101</v>
      </c>
      <c r="D432" s="3">
        <v>731363.82</v>
      </c>
      <c r="E432" s="3">
        <v>1504773.3278445399</v>
      </c>
      <c r="F432" s="3">
        <v>3588156.74977146</v>
      </c>
      <c r="G432" s="1">
        <v>44592</v>
      </c>
      <c r="H432" s="2">
        <v>45170</v>
      </c>
    </row>
    <row r="433" spans="1:8" hidden="1" x14ac:dyDescent="0.45">
      <c r="A433">
        <v>431</v>
      </c>
      <c r="B433" t="s">
        <v>8</v>
      </c>
      <c r="C433" s="3">
        <v>1446684.6647934001</v>
      </c>
      <c r="D433" s="3">
        <v>654957.81999999995</v>
      </c>
      <c r="E433" s="3">
        <v>807949.39869520499</v>
      </c>
      <c r="F433" s="3">
        <v>2222647.30073498</v>
      </c>
      <c r="G433" s="1">
        <v>44592</v>
      </c>
      <c r="H433" s="2">
        <v>45200</v>
      </c>
    </row>
    <row r="434" spans="1:8" hidden="1" x14ac:dyDescent="0.45">
      <c r="A434">
        <v>432</v>
      </c>
      <c r="B434" t="s">
        <v>8</v>
      </c>
      <c r="C434" s="3">
        <v>3770073.387013</v>
      </c>
      <c r="D434" s="3">
        <v>1052509.75</v>
      </c>
      <c r="E434" s="3">
        <v>2678332.6899353499</v>
      </c>
      <c r="F434" s="3">
        <v>4975831.7383807702</v>
      </c>
      <c r="G434" s="1">
        <v>44592</v>
      </c>
      <c r="H434" s="2">
        <v>45231</v>
      </c>
    </row>
    <row r="435" spans="1:8" hidden="1" x14ac:dyDescent="0.45">
      <c r="A435">
        <v>433</v>
      </c>
      <c r="B435" t="s">
        <v>8</v>
      </c>
      <c r="C435" s="3">
        <v>552559.807333256</v>
      </c>
      <c r="D435" s="3">
        <v>457472.3</v>
      </c>
      <c r="E435" s="3">
        <v>295606.83423196198</v>
      </c>
      <c r="F435" s="3">
        <v>855019.57958436396</v>
      </c>
      <c r="G435" s="1">
        <v>44592</v>
      </c>
      <c r="H435" s="2">
        <v>45261</v>
      </c>
    </row>
    <row r="436" spans="1:8" hidden="1" x14ac:dyDescent="0.45">
      <c r="A436">
        <v>434</v>
      </c>
      <c r="B436" t="s">
        <v>8</v>
      </c>
      <c r="C436" s="3">
        <v>1511772.75512846</v>
      </c>
      <c r="D436" s="3">
        <v>743127.23999999894</v>
      </c>
      <c r="E436" s="3">
        <v>940377.79764514498</v>
      </c>
      <c r="F436" s="3">
        <v>2161554.4364402299</v>
      </c>
      <c r="G436" s="1">
        <v>44592</v>
      </c>
      <c r="H436" s="2">
        <v>45292</v>
      </c>
    </row>
    <row r="437" spans="1:8" hidden="1" x14ac:dyDescent="0.45">
      <c r="A437">
        <v>435</v>
      </c>
      <c r="B437" t="s">
        <v>8</v>
      </c>
      <c r="C437" s="3">
        <v>1375736.0661991499</v>
      </c>
      <c r="D437" s="3">
        <v>476275.11</v>
      </c>
      <c r="E437" s="3">
        <v>397867.89880112698</v>
      </c>
      <c r="F437" s="3">
        <v>2379746.1872887202</v>
      </c>
      <c r="G437" s="1">
        <v>44592</v>
      </c>
      <c r="H437" s="2">
        <v>45323</v>
      </c>
    </row>
    <row r="438" spans="1:8" hidden="1" x14ac:dyDescent="0.45">
      <c r="A438">
        <v>436</v>
      </c>
      <c r="B438" t="s">
        <v>8</v>
      </c>
      <c r="C438" s="3">
        <v>1174323.6138927599</v>
      </c>
      <c r="D438" s="3">
        <v>490016.49</v>
      </c>
      <c r="E438" s="3">
        <v>378046.07718160399</v>
      </c>
      <c r="F438" s="3">
        <v>2158992.92373162</v>
      </c>
      <c r="G438" s="1">
        <v>44592</v>
      </c>
      <c r="H438" s="2">
        <v>45352</v>
      </c>
    </row>
    <row r="439" spans="1:8" hidden="1" x14ac:dyDescent="0.45">
      <c r="A439">
        <v>437</v>
      </c>
      <c r="B439" t="s">
        <v>8</v>
      </c>
      <c r="C439" s="3">
        <v>1094457.3449489099</v>
      </c>
      <c r="D439" s="3">
        <v>736714.18</v>
      </c>
      <c r="E439" s="3">
        <v>365947.316469613</v>
      </c>
      <c r="F439" s="3">
        <v>2016671.89984508</v>
      </c>
      <c r="G439" s="1">
        <v>44592</v>
      </c>
      <c r="H439" s="2">
        <v>45383</v>
      </c>
    </row>
    <row r="440" spans="1:8" hidden="1" x14ac:dyDescent="0.45">
      <c r="A440">
        <v>438</v>
      </c>
      <c r="B440" t="s">
        <v>8</v>
      </c>
      <c r="C440" s="3">
        <v>1580508.55521027</v>
      </c>
      <c r="D440" s="3">
        <v>393912.48</v>
      </c>
      <c r="E440" s="3">
        <v>720318.996459594</v>
      </c>
      <c r="F440" s="3">
        <v>2592640.5363107398</v>
      </c>
      <c r="G440" s="1">
        <v>44592</v>
      </c>
      <c r="H440" s="2">
        <v>45413</v>
      </c>
    </row>
    <row r="441" spans="1:8" hidden="1" x14ac:dyDescent="0.45">
      <c r="A441">
        <v>439</v>
      </c>
      <c r="B441" t="s">
        <v>8</v>
      </c>
      <c r="C441" s="3">
        <v>3248877.3899245299</v>
      </c>
      <c r="D441" s="3">
        <v>441151.19</v>
      </c>
      <c r="E441" s="3">
        <v>1730406.7092307301</v>
      </c>
      <c r="F441" s="3">
        <v>4841508.2792579997</v>
      </c>
      <c r="G441" s="1">
        <v>44592</v>
      </c>
      <c r="H441" s="2">
        <v>45444</v>
      </c>
    </row>
    <row r="442" spans="1:8" hidden="1" x14ac:dyDescent="0.45">
      <c r="A442">
        <v>440</v>
      </c>
      <c r="B442" t="s">
        <v>8</v>
      </c>
      <c r="C442" s="3">
        <v>3699008.6239972902</v>
      </c>
      <c r="D442" s="3">
        <v>470585.22</v>
      </c>
      <c r="E442" s="3">
        <v>2245034.1533988402</v>
      </c>
      <c r="F442" s="3">
        <v>5281598.3514452297</v>
      </c>
      <c r="G442" s="1">
        <v>44592</v>
      </c>
      <c r="H442" s="2">
        <v>45474</v>
      </c>
    </row>
    <row r="443" spans="1:8" hidden="1" x14ac:dyDescent="0.45">
      <c r="A443">
        <v>441</v>
      </c>
      <c r="B443" t="s">
        <v>8</v>
      </c>
      <c r="C443" s="3">
        <v>1729118.3958821599</v>
      </c>
      <c r="D443" s="3">
        <v>430728.1</v>
      </c>
      <c r="E443" s="3">
        <v>913785.15328326798</v>
      </c>
      <c r="F443" s="3">
        <v>2576159.6604089402</v>
      </c>
      <c r="G443" s="1">
        <v>44592</v>
      </c>
      <c r="H443" s="2">
        <v>45505</v>
      </c>
    </row>
    <row r="444" spans="1:8" hidden="1" x14ac:dyDescent="0.45">
      <c r="A444">
        <v>442</v>
      </c>
      <c r="B444" t="s">
        <v>8</v>
      </c>
      <c r="C444" s="3">
        <v>2475749.2189553399</v>
      </c>
      <c r="D444" s="3">
        <v>803651.85</v>
      </c>
      <c r="E444" s="3">
        <v>1458349.21400387</v>
      </c>
      <c r="F444" s="3">
        <v>3656295.7857646099</v>
      </c>
      <c r="G444" s="1">
        <v>44592</v>
      </c>
      <c r="H444" s="2">
        <v>45536</v>
      </c>
    </row>
    <row r="445" spans="1:8" hidden="1" x14ac:dyDescent="0.45">
      <c r="A445">
        <v>443</v>
      </c>
      <c r="B445" t="s">
        <v>8</v>
      </c>
      <c r="C445" s="3">
        <v>1423379.3524066</v>
      </c>
      <c r="D445" s="3">
        <v>327055.21999999997</v>
      </c>
      <c r="E445" s="3">
        <v>769244.74291902699</v>
      </c>
      <c r="F445" s="3">
        <v>2234636.54220577</v>
      </c>
      <c r="G445" s="1">
        <v>44592</v>
      </c>
      <c r="H445" s="2">
        <v>45566</v>
      </c>
    </row>
    <row r="446" spans="1:8" hidden="1" x14ac:dyDescent="0.45">
      <c r="A446">
        <v>444</v>
      </c>
      <c r="B446" t="s">
        <v>8</v>
      </c>
      <c r="C446" s="3">
        <v>3711708.8523534201</v>
      </c>
      <c r="D446" s="3"/>
      <c r="E446" s="3">
        <v>2498518.2848012601</v>
      </c>
      <c r="F446" s="3">
        <v>5083176.6875130702</v>
      </c>
      <c r="G446" s="1">
        <v>44592</v>
      </c>
      <c r="H446" s="2">
        <v>45597</v>
      </c>
    </row>
    <row r="447" spans="1:8" hidden="1" x14ac:dyDescent="0.45">
      <c r="A447">
        <v>445</v>
      </c>
      <c r="B447" t="s">
        <v>8</v>
      </c>
      <c r="C447" s="3">
        <v>543434.68820018496</v>
      </c>
      <c r="D447" s="3"/>
      <c r="E447" s="3">
        <v>274662.865391639</v>
      </c>
      <c r="F447" s="3">
        <v>855461.13775530097</v>
      </c>
      <c r="G447" s="1">
        <v>44592</v>
      </c>
      <c r="H447" s="2">
        <v>45627</v>
      </c>
    </row>
    <row r="448" spans="1:8" hidden="1" x14ac:dyDescent="0.45">
      <c r="A448">
        <v>446</v>
      </c>
      <c r="B448" t="s">
        <v>8</v>
      </c>
      <c r="C448" s="3">
        <v>1486499.77164917</v>
      </c>
      <c r="D448" s="3"/>
      <c r="E448" s="3">
        <v>877075.97893170605</v>
      </c>
      <c r="F448" s="3">
        <v>2183284.3789407001</v>
      </c>
      <c r="G448" s="1">
        <v>44592</v>
      </c>
      <c r="H448" s="2">
        <v>45658</v>
      </c>
    </row>
    <row r="449" spans="1:8" hidden="1" x14ac:dyDescent="0.45">
      <c r="A449">
        <v>447</v>
      </c>
      <c r="B449" t="s">
        <v>8</v>
      </c>
      <c r="C449" s="3">
        <v>1356052.8832310201</v>
      </c>
      <c r="D449" s="3"/>
      <c r="E449" s="3">
        <v>374190.56130372803</v>
      </c>
      <c r="F449" s="3">
        <v>2391593.6776764598</v>
      </c>
      <c r="G449" s="1">
        <v>44592</v>
      </c>
      <c r="H449" s="2">
        <v>45689</v>
      </c>
    </row>
    <row r="450" spans="1:8" hidden="1" x14ac:dyDescent="0.45">
      <c r="A450">
        <v>448</v>
      </c>
      <c r="B450" t="s">
        <v>8</v>
      </c>
      <c r="C450" s="3">
        <v>1157907.1815226499</v>
      </c>
      <c r="D450" s="3"/>
      <c r="E450" s="3">
        <v>359529.81804558297</v>
      </c>
      <c r="F450" s="3">
        <v>2151401.4460411398</v>
      </c>
      <c r="G450" s="1">
        <v>44592</v>
      </c>
      <c r="H450" s="2">
        <v>45717</v>
      </c>
    </row>
    <row r="451" spans="1:8" hidden="1" x14ac:dyDescent="0.45">
      <c r="A451">
        <v>449</v>
      </c>
      <c r="B451" t="s">
        <v>8</v>
      </c>
      <c r="C451" s="3">
        <v>1079547.91587107</v>
      </c>
      <c r="D451" s="3"/>
      <c r="E451" s="3">
        <v>352438.03260323801</v>
      </c>
      <c r="F451" s="3">
        <v>2019118.5264615</v>
      </c>
      <c r="G451" s="1">
        <v>44592</v>
      </c>
      <c r="H451" s="2">
        <v>45748</v>
      </c>
    </row>
    <row r="452" spans="1:8" hidden="1" x14ac:dyDescent="0.45">
      <c r="A452">
        <v>450</v>
      </c>
      <c r="B452" t="s">
        <v>8</v>
      </c>
      <c r="C452" s="3">
        <v>1557351.34412134</v>
      </c>
      <c r="D452" s="3"/>
      <c r="E452" s="3">
        <v>663665.08438950405</v>
      </c>
      <c r="F452" s="3">
        <v>2568178.6223895201</v>
      </c>
      <c r="G452" s="1">
        <v>44592</v>
      </c>
      <c r="H452" s="2">
        <v>45778</v>
      </c>
    </row>
    <row r="453" spans="1:8" hidden="1" x14ac:dyDescent="0.45">
      <c r="A453">
        <v>451</v>
      </c>
      <c r="B453" t="s">
        <v>8</v>
      </c>
      <c r="C453" s="3">
        <v>3205456.5072565498</v>
      </c>
      <c r="D453" s="3"/>
      <c r="E453" s="3">
        <v>1617475.8797579301</v>
      </c>
      <c r="F453" s="3">
        <v>4917711.2027340997</v>
      </c>
      <c r="G453" s="1">
        <v>44592</v>
      </c>
      <c r="H453" s="2">
        <v>45809</v>
      </c>
    </row>
    <row r="454" spans="1:8" hidden="1" x14ac:dyDescent="0.45">
      <c r="A454">
        <v>452</v>
      </c>
      <c r="B454" t="s">
        <v>8</v>
      </c>
      <c r="C454" s="3">
        <v>3649478.7116674301</v>
      </c>
      <c r="D454" s="3"/>
      <c r="E454" s="3">
        <v>2068682.9960404499</v>
      </c>
      <c r="F454" s="3">
        <v>5352386.4826848703</v>
      </c>
      <c r="G454" s="1">
        <v>44592</v>
      </c>
      <c r="H454" s="2">
        <v>45839</v>
      </c>
    </row>
    <row r="455" spans="1:8" hidden="1" x14ac:dyDescent="0.45">
      <c r="A455">
        <v>453</v>
      </c>
      <c r="B455" t="s">
        <v>8</v>
      </c>
      <c r="C455" s="3">
        <v>1705298.9732737199</v>
      </c>
      <c r="D455" s="3"/>
      <c r="E455" s="3">
        <v>858329.55311906897</v>
      </c>
      <c r="F455" s="3">
        <v>2629799.5730880001</v>
      </c>
      <c r="G455" s="1">
        <v>44592</v>
      </c>
      <c r="H455" s="2">
        <v>45870</v>
      </c>
    </row>
    <row r="456" spans="1:8" hidden="1" x14ac:dyDescent="0.45">
      <c r="A456">
        <v>454</v>
      </c>
      <c r="B456" t="s">
        <v>8</v>
      </c>
      <c r="C456" s="3">
        <v>2441310.0421790802</v>
      </c>
      <c r="D456" s="3"/>
      <c r="E456" s="3">
        <v>1344845.8222610001</v>
      </c>
      <c r="F456" s="3">
        <v>3700163.40518418</v>
      </c>
      <c r="G456" s="1">
        <v>44592</v>
      </c>
      <c r="H456" s="2">
        <v>45901</v>
      </c>
    </row>
    <row r="457" spans="1:8" hidden="1" x14ac:dyDescent="0.45">
      <c r="A457">
        <v>455</v>
      </c>
      <c r="B457" t="s">
        <v>8</v>
      </c>
      <c r="C457" s="3">
        <v>1405192.1226335701</v>
      </c>
      <c r="D457" s="3"/>
      <c r="E457" s="3">
        <v>709883.96974869596</v>
      </c>
      <c r="F457" s="3">
        <v>2259759.0628852798</v>
      </c>
      <c r="G457" s="1">
        <v>44592</v>
      </c>
      <c r="H457" s="2">
        <v>45931</v>
      </c>
    </row>
    <row r="458" spans="1:8" hidden="1" x14ac:dyDescent="0.45">
      <c r="A458">
        <v>456</v>
      </c>
      <c r="B458" t="s">
        <v>7</v>
      </c>
      <c r="C458" s="3">
        <v>97215.2431836162</v>
      </c>
      <c r="D458" s="3">
        <v>28250.62</v>
      </c>
      <c r="E458" s="3">
        <v>57634.853546537801</v>
      </c>
      <c r="F458" s="3">
        <v>137781.31031808001</v>
      </c>
      <c r="G458" s="1">
        <v>44620</v>
      </c>
      <c r="H458" s="2">
        <v>44228</v>
      </c>
    </row>
    <row r="459" spans="1:8" hidden="1" x14ac:dyDescent="0.45">
      <c r="A459">
        <v>457</v>
      </c>
      <c r="B459" t="s">
        <v>7</v>
      </c>
      <c r="C459" s="3">
        <v>121415.264616211</v>
      </c>
      <c r="D459" s="3">
        <v>36247.919999999998</v>
      </c>
      <c r="E459" s="3">
        <v>59661.352833432502</v>
      </c>
      <c r="F459" s="3">
        <v>191896.68663129801</v>
      </c>
      <c r="G459" s="1">
        <v>44620</v>
      </c>
      <c r="H459" s="2">
        <v>44256</v>
      </c>
    </row>
    <row r="460" spans="1:8" hidden="1" x14ac:dyDescent="0.45">
      <c r="A460">
        <v>458</v>
      </c>
      <c r="B460" t="s">
        <v>7</v>
      </c>
      <c r="C460" s="3">
        <v>118064.202268847</v>
      </c>
      <c r="D460" s="3">
        <v>14721.48</v>
      </c>
      <c r="E460" s="3">
        <v>51708.758836472603</v>
      </c>
      <c r="F460" s="3">
        <v>197094.131049713</v>
      </c>
      <c r="G460" s="1">
        <v>44620</v>
      </c>
      <c r="H460" s="2">
        <v>44287</v>
      </c>
    </row>
    <row r="461" spans="1:8" hidden="1" x14ac:dyDescent="0.45">
      <c r="A461">
        <v>459</v>
      </c>
      <c r="B461" t="s">
        <v>7</v>
      </c>
      <c r="C461" s="3">
        <v>217051.277576052</v>
      </c>
      <c r="D461" s="3">
        <v>94346.71</v>
      </c>
      <c r="E461" s="3">
        <v>120599.186697015</v>
      </c>
      <c r="F461" s="3">
        <v>321995.71322812297</v>
      </c>
      <c r="G461" s="1">
        <v>44620</v>
      </c>
      <c r="H461" s="2">
        <v>44317</v>
      </c>
    </row>
    <row r="462" spans="1:8" hidden="1" x14ac:dyDescent="0.45">
      <c r="A462">
        <v>460</v>
      </c>
      <c r="B462" t="s">
        <v>7</v>
      </c>
      <c r="C462" s="3">
        <v>748279.89409303595</v>
      </c>
      <c r="D462" s="3">
        <v>970740.72</v>
      </c>
      <c r="E462" s="3">
        <v>545591.48091275105</v>
      </c>
      <c r="F462" s="3">
        <v>943601.14754322404</v>
      </c>
      <c r="G462" s="1">
        <v>44620</v>
      </c>
      <c r="H462" s="2">
        <v>44348</v>
      </c>
    </row>
    <row r="463" spans="1:8" hidden="1" x14ac:dyDescent="0.45">
      <c r="A463">
        <v>461</v>
      </c>
      <c r="B463" t="s">
        <v>7</v>
      </c>
      <c r="C463" s="3">
        <v>1650240.61101648</v>
      </c>
      <c r="D463" s="3">
        <v>1798271.24</v>
      </c>
      <c r="E463" s="3">
        <v>1334918.98617205</v>
      </c>
      <c r="F463" s="3">
        <v>1967911.9465715</v>
      </c>
      <c r="G463" s="1">
        <v>44620</v>
      </c>
      <c r="H463" s="2">
        <v>44378</v>
      </c>
    </row>
    <row r="464" spans="1:8" hidden="1" x14ac:dyDescent="0.45">
      <c r="A464">
        <v>462</v>
      </c>
      <c r="B464" t="s">
        <v>7</v>
      </c>
      <c r="C464" s="3">
        <v>892315.190015106</v>
      </c>
      <c r="D464" s="3">
        <v>700449.31</v>
      </c>
      <c r="E464" s="3">
        <v>647435.53785489302</v>
      </c>
      <c r="F464" s="3">
        <v>1173347.4411667001</v>
      </c>
      <c r="G464" s="1">
        <v>44620</v>
      </c>
      <c r="H464" s="2">
        <v>44409</v>
      </c>
    </row>
    <row r="465" spans="1:8" hidden="1" x14ac:dyDescent="0.45">
      <c r="A465">
        <v>463</v>
      </c>
      <c r="B465" t="s">
        <v>7</v>
      </c>
      <c r="C465" s="3">
        <v>1441199.4854822501</v>
      </c>
      <c r="D465" s="3">
        <v>1784906.52</v>
      </c>
      <c r="E465" s="3">
        <v>1110643.7227525001</v>
      </c>
      <c r="F465" s="3">
        <v>1777233.906154</v>
      </c>
      <c r="G465" s="1">
        <v>44620</v>
      </c>
      <c r="H465" s="2">
        <v>44440</v>
      </c>
    </row>
    <row r="466" spans="1:8" hidden="1" x14ac:dyDescent="0.45">
      <c r="A466">
        <v>464</v>
      </c>
      <c r="B466" t="s">
        <v>7</v>
      </c>
      <c r="C466" s="3">
        <v>896760.078354756</v>
      </c>
      <c r="D466" s="3">
        <v>706422.77</v>
      </c>
      <c r="E466" s="3">
        <v>628947.27544253296</v>
      </c>
      <c r="F466" s="3">
        <v>1177084.3189600401</v>
      </c>
      <c r="G466" s="1">
        <v>44620</v>
      </c>
      <c r="H466" s="2">
        <v>44470</v>
      </c>
    </row>
    <row r="467" spans="1:8" hidden="1" x14ac:dyDescent="0.45">
      <c r="A467">
        <v>465</v>
      </c>
      <c r="B467" t="s">
        <v>7</v>
      </c>
      <c r="C467" s="3">
        <v>2707623.9059825498</v>
      </c>
      <c r="D467" s="3">
        <v>3115611.92</v>
      </c>
      <c r="E467" s="3">
        <v>2224592.5291512702</v>
      </c>
      <c r="F467" s="3">
        <v>3202064.57908965</v>
      </c>
      <c r="G467" s="1">
        <v>44620</v>
      </c>
      <c r="H467" s="2">
        <v>44501</v>
      </c>
    </row>
    <row r="468" spans="1:8" hidden="1" x14ac:dyDescent="0.45">
      <c r="A468">
        <v>466</v>
      </c>
      <c r="B468" t="s">
        <v>7</v>
      </c>
      <c r="C468" s="3">
        <v>500739.39726619801</v>
      </c>
      <c r="D468" s="3">
        <v>227049.91</v>
      </c>
      <c r="E468" s="3">
        <v>306075.42477477598</v>
      </c>
      <c r="F468" s="3">
        <v>716410.00968430599</v>
      </c>
      <c r="G468" s="1">
        <v>44620</v>
      </c>
      <c r="H468" s="2">
        <v>44531</v>
      </c>
    </row>
    <row r="469" spans="1:8" hidden="1" x14ac:dyDescent="0.45">
      <c r="A469">
        <v>467</v>
      </c>
      <c r="B469" t="s">
        <v>7</v>
      </c>
      <c r="C469" s="3">
        <v>1297970.5153788901</v>
      </c>
      <c r="D469" s="3">
        <v>1231496.1499999999</v>
      </c>
      <c r="E469" s="3">
        <v>954766.66319730703</v>
      </c>
      <c r="F469" s="3">
        <v>1650341.92532243</v>
      </c>
      <c r="G469" s="1">
        <v>44620</v>
      </c>
      <c r="H469" s="2">
        <v>44562</v>
      </c>
    </row>
    <row r="470" spans="1:8" hidden="1" x14ac:dyDescent="0.45">
      <c r="A470">
        <v>468</v>
      </c>
      <c r="B470" t="s">
        <v>7</v>
      </c>
      <c r="C470" s="3">
        <v>1033902.04746941</v>
      </c>
      <c r="D470" s="3">
        <v>1031231.86</v>
      </c>
      <c r="E470" s="3">
        <v>733900.85042660101</v>
      </c>
      <c r="F470" s="3">
        <v>1337280.9938928201</v>
      </c>
      <c r="G470" s="1">
        <v>44620</v>
      </c>
      <c r="H470" s="2">
        <v>44593</v>
      </c>
    </row>
    <row r="471" spans="1:8" hidden="1" x14ac:dyDescent="0.45">
      <c r="A471">
        <v>469</v>
      </c>
      <c r="B471" t="s">
        <v>8</v>
      </c>
      <c r="C471" s="3">
        <v>1067205.57745482</v>
      </c>
      <c r="D471" s="3">
        <v>2691925.09</v>
      </c>
      <c r="E471" s="3">
        <v>498286.61391652399</v>
      </c>
      <c r="F471" s="3">
        <v>1758751.7787230201</v>
      </c>
      <c r="G471" s="1">
        <v>44620</v>
      </c>
      <c r="H471" s="2">
        <v>44621</v>
      </c>
    </row>
    <row r="472" spans="1:8" hidden="1" x14ac:dyDescent="0.45">
      <c r="A472">
        <v>470</v>
      </c>
      <c r="B472" t="s">
        <v>8</v>
      </c>
      <c r="C472" s="3">
        <v>979612.77496005106</v>
      </c>
      <c r="D472" s="3">
        <v>82228.009999999995</v>
      </c>
      <c r="E472" s="3">
        <v>402994.21110557899</v>
      </c>
      <c r="F472" s="3">
        <v>1681649.8787748199</v>
      </c>
      <c r="G472" s="1">
        <v>44620</v>
      </c>
      <c r="H472" s="2">
        <v>44652</v>
      </c>
    </row>
    <row r="473" spans="1:8" hidden="1" x14ac:dyDescent="0.45">
      <c r="A473">
        <v>471</v>
      </c>
      <c r="B473" t="s">
        <v>8</v>
      </c>
      <c r="C473" s="3">
        <v>1487855.0658305199</v>
      </c>
      <c r="D473" s="3">
        <v>536261.22</v>
      </c>
      <c r="E473" s="3">
        <v>726608.42937973002</v>
      </c>
      <c r="F473" s="3">
        <v>2333249.9387225201</v>
      </c>
      <c r="G473" s="1">
        <v>44620</v>
      </c>
      <c r="H473" s="2">
        <v>44682</v>
      </c>
    </row>
    <row r="474" spans="1:8" hidden="1" x14ac:dyDescent="0.45">
      <c r="A474">
        <v>472</v>
      </c>
      <c r="B474" t="s">
        <v>8</v>
      </c>
      <c r="C474" s="3">
        <v>3165674.9952492202</v>
      </c>
      <c r="D474" s="3">
        <v>1204941.45</v>
      </c>
      <c r="E474" s="3">
        <v>1973568.98190778</v>
      </c>
      <c r="F474" s="3">
        <v>4364067.7531473301</v>
      </c>
      <c r="G474" s="1">
        <v>44620</v>
      </c>
      <c r="H474" s="2">
        <v>44713</v>
      </c>
    </row>
    <row r="475" spans="1:8" hidden="1" x14ac:dyDescent="0.45">
      <c r="A475">
        <v>473</v>
      </c>
      <c r="B475" t="s">
        <v>8</v>
      </c>
      <c r="C475" s="3">
        <v>3685517.3885025298</v>
      </c>
      <c r="D475" s="3">
        <v>706460.63</v>
      </c>
      <c r="E475" s="3">
        <v>2514800.30689681</v>
      </c>
      <c r="F475" s="3">
        <v>4808536.80726666</v>
      </c>
      <c r="G475" s="1">
        <v>44620</v>
      </c>
      <c r="H475" s="2">
        <v>44743</v>
      </c>
    </row>
    <row r="476" spans="1:8" hidden="1" x14ac:dyDescent="0.45">
      <c r="A476">
        <v>474</v>
      </c>
      <c r="B476" t="s">
        <v>8</v>
      </c>
      <c r="C476" s="3">
        <v>1654662.93178022</v>
      </c>
      <c r="D476" s="3">
        <v>1069908.7</v>
      </c>
      <c r="E476" s="3">
        <v>1014633.99666908</v>
      </c>
      <c r="F476" s="3">
        <v>2374955.13889533</v>
      </c>
      <c r="G476" s="1">
        <v>44620</v>
      </c>
      <c r="H476" s="2">
        <v>44774</v>
      </c>
    </row>
    <row r="477" spans="1:8" hidden="1" x14ac:dyDescent="0.45">
      <c r="A477">
        <v>475</v>
      </c>
      <c r="B477" t="s">
        <v>8</v>
      </c>
      <c r="C477" s="3">
        <v>2407177.1162779499</v>
      </c>
      <c r="D477" s="3">
        <v>751790.71</v>
      </c>
      <c r="E477" s="3">
        <v>1611534.35658382</v>
      </c>
      <c r="F477" s="3">
        <v>3223161.7484090002</v>
      </c>
      <c r="G477" s="1">
        <v>44620</v>
      </c>
      <c r="H477" s="2">
        <v>44805</v>
      </c>
    </row>
    <row r="478" spans="1:8" hidden="1" x14ac:dyDescent="0.45">
      <c r="A478">
        <v>476</v>
      </c>
      <c r="B478" t="s">
        <v>8</v>
      </c>
      <c r="C478" s="3">
        <v>1343112.4940174301</v>
      </c>
      <c r="D478" s="3">
        <v>711141.84</v>
      </c>
      <c r="E478" s="3">
        <v>830171.35386711697</v>
      </c>
      <c r="F478" s="3">
        <v>1877261.9166123599</v>
      </c>
      <c r="G478" s="1">
        <v>44620</v>
      </c>
      <c r="H478" s="2">
        <v>44835</v>
      </c>
    </row>
    <row r="479" spans="1:8" hidden="1" x14ac:dyDescent="0.45">
      <c r="A479">
        <v>477</v>
      </c>
      <c r="B479" t="s">
        <v>8</v>
      </c>
      <c r="C479" s="3">
        <v>3611988.4894708698</v>
      </c>
      <c r="D479" s="3">
        <v>1410224.14</v>
      </c>
      <c r="E479" s="3">
        <v>2694428.3451356599</v>
      </c>
      <c r="F479" s="3">
        <v>4571734.2433790499</v>
      </c>
      <c r="G479" s="1">
        <v>44620</v>
      </c>
      <c r="H479" s="2">
        <v>44866</v>
      </c>
    </row>
    <row r="480" spans="1:8" hidden="1" x14ac:dyDescent="0.45">
      <c r="A480">
        <v>478</v>
      </c>
      <c r="B480" t="s">
        <v>8</v>
      </c>
      <c r="C480" s="3">
        <v>537927.84387495602</v>
      </c>
      <c r="D480" s="3">
        <v>260496.11999999901</v>
      </c>
      <c r="E480" s="3">
        <v>309474.44873892597</v>
      </c>
      <c r="F480" s="3">
        <v>802940.37837328203</v>
      </c>
      <c r="G480" s="1">
        <v>44620</v>
      </c>
      <c r="H480" s="2">
        <v>44896</v>
      </c>
    </row>
    <row r="481" spans="1:8" hidden="1" x14ac:dyDescent="0.45">
      <c r="A481">
        <v>479</v>
      </c>
      <c r="B481" t="s">
        <v>8</v>
      </c>
      <c r="C481" s="3">
        <v>1409067.7935773099</v>
      </c>
      <c r="D481" s="3">
        <v>788641.62</v>
      </c>
      <c r="E481" s="3">
        <v>947772.79639208002</v>
      </c>
      <c r="F481" s="3">
        <v>1890246.3995817699</v>
      </c>
      <c r="G481" s="1">
        <v>44620</v>
      </c>
      <c r="H481" s="2">
        <v>44927</v>
      </c>
    </row>
    <row r="482" spans="1:8" hidden="1" x14ac:dyDescent="0.45">
      <c r="A482">
        <v>480</v>
      </c>
      <c r="B482" t="s">
        <v>8</v>
      </c>
      <c r="C482" s="3">
        <v>1052595.9992160001</v>
      </c>
      <c r="D482" s="3">
        <v>724249.72</v>
      </c>
      <c r="E482" s="3">
        <v>707859.21362104896</v>
      </c>
      <c r="F482" s="3">
        <v>1420468.22919071</v>
      </c>
      <c r="G482" s="1">
        <v>44620</v>
      </c>
      <c r="H482" s="2">
        <v>44958</v>
      </c>
    </row>
    <row r="483" spans="1:8" hidden="1" x14ac:dyDescent="0.45">
      <c r="A483">
        <v>481</v>
      </c>
      <c r="B483" t="s">
        <v>8</v>
      </c>
      <c r="C483" s="3">
        <v>1048200.44657114</v>
      </c>
      <c r="D483" s="3">
        <v>432175.11</v>
      </c>
      <c r="E483" s="3">
        <v>470716.45521941897</v>
      </c>
      <c r="F483" s="3">
        <v>1747802.575065</v>
      </c>
      <c r="G483" s="1">
        <v>44620</v>
      </c>
      <c r="H483" s="2">
        <v>44986</v>
      </c>
    </row>
    <row r="484" spans="1:8" hidden="1" x14ac:dyDescent="0.45">
      <c r="A484">
        <v>482</v>
      </c>
      <c r="B484" t="s">
        <v>8</v>
      </c>
      <c r="C484" s="3">
        <v>931663.82635575801</v>
      </c>
      <c r="D484" s="3">
        <v>767400.83</v>
      </c>
      <c r="E484" s="3">
        <v>373626.45564315602</v>
      </c>
      <c r="F484" s="3">
        <v>1586359.7264318799</v>
      </c>
      <c r="G484" s="1">
        <v>44620</v>
      </c>
      <c r="H484" s="2">
        <v>45017</v>
      </c>
    </row>
    <row r="485" spans="1:8" hidden="1" x14ac:dyDescent="0.45">
      <c r="A485">
        <v>483</v>
      </c>
      <c r="B485" t="s">
        <v>8</v>
      </c>
      <c r="C485" s="3">
        <v>1390514.5943253499</v>
      </c>
      <c r="D485" s="3">
        <v>735169.25999999896</v>
      </c>
      <c r="E485" s="3">
        <v>663515.36930968496</v>
      </c>
      <c r="F485" s="3">
        <v>2236874.94516822</v>
      </c>
      <c r="G485" s="1">
        <v>44620</v>
      </c>
      <c r="H485" s="2">
        <v>45047</v>
      </c>
    </row>
    <row r="486" spans="1:8" hidden="1" x14ac:dyDescent="0.45">
      <c r="A486">
        <v>484</v>
      </c>
      <c r="B486" t="s">
        <v>8</v>
      </c>
      <c r="C486" s="3">
        <v>2844524.9120470802</v>
      </c>
      <c r="D486" s="3">
        <v>660132.99</v>
      </c>
      <c r="E486" s="3">
        <v>1741125.3318906601</v>
      </c>
      <c r="F486" s="3">
        <v>3985414.3992015198</v>
      </c>
      <c r="G486" s="1">
        <v>44620</v>
      </c>
      <c r="H486" s="2">
        <v>45078</v>
      </c>
    </row>
    <row r="487" spans="1:8" hidden="1" x14ac:dyDescent="0.45">
      <c r="A487">
        <v>485</v>
      </c>
      <c r="B487" t="s">
        <v>8</v>
      </c>
      <c r="C487" s="3">
        <v>3297036.6363772699</v>
      </c>
      <c r="D487" s="3">
        <v>679700.36</v>
      </c>
      <c r="E487" s="3">
        <v>2198933.1909846598</v>
      </c>
      <c r="F487" s="3">
        <v>4383548.0602520602</v>
      </c>
      <c r="G487" s="1">
        <v>44620</v>
      </c>
      <c r="H487" s="2">
        <v>45108</v>
      </c>
    </row>
    <row r="488" spans="1:8" hidden="1" x14ac:dyDescent="0.45">
      <c r="A488">
        <v>486</v>
      </c>
      <c r="B488" t="s">
        <v>8</v>
      </c>
      <c r="C488" s="3">
        <v>1481475.93890896</v>
      </c>
      <c r="D488" s="3">
        <v>710689.52999999898</v>
      </c>
      <c r="E488" s="3">
        <v>899319.80751068098</v>
      </c>
      <c r="F488" s="3">
        <v>2180687.8292658702</v>
      </c>
      <c r="G488" s="1">
        <v>44620</v>
      </c>
      <c r="H488" s="2">
        <v>45139</v>
      </c>
    </row>
    <row r="489" spans="1:8" hidden="1" x14ac:dyDescent="0.45">
      <c r="A489">
        <v>487</v>
      </c>
      <c r="B489" t="s">
        <v>8</v>
      </c>
      <c r="C489" s="3">
        <v>2140473.7462564101</v>
      </c>
      <c r="D489" s="3">
        <v>758559.9</v>
      </c>
      <c r="E489" s="3">
        <v>1411791.2462927799</v>
      </c>
      <c r="F489" s="3">
        <v>2935980.2166517801</v>
      </c>
      <c r="G489" s="1">
        <v>44620</v>
      </c>
      <c r="H489" s="2">
        <v>45170</v>
      </c>
    </row>
    <row r="490" spans="1:8" hidden="1" x14ac:dyDescent="0.45">
      <c r="A490">
        <v>488</v>
      </c>
      <c r="B490" t="s">
        <v>8</v>
      </c>
      <c r="C490" s="3">
        <v>1193411.65288068</v>
      </c>
      <c r="D490" s="3">
        <v>680385.2</v>
      </c>
      <c r="E490" s="3">
        <v>728783.02275297698</v>
      </c>
      <c r="F490" s="3">
        <v>1696366.4656597499</v>
      </c>
      <c r="G490" s="1">
        <v>44620</v>
      </c>
      <c r="H490" s="2">
        <v>45200</v>
      </c>
    </row>
    <row r="491" spans="1:8" hidden="1" x14ac:dyDescent="0.45">
      <c r="A491">
        <v>489</v>
      </c>
      <c r="B491" t="s">
        <v>8</v>
      </c>
      <c r="C491" s="3">
        <v>3188021.9871735699</v>
      </c>
      <c r="D491" s="3">
        <v>1086249.4099999999</v>
      </c>
      <c r="E491" s="3">
        <v>2315630.5931853699</v>
      </c>
      <c r="F491" s="3">
        <v>4121688.69361362</v>
      </c>
      <c r="G491" s="1">
        <v>44620</v>
      </c>
      <c r="H491" s="2">
        <v>45231</v>
      </c>
    </row>
    <row r="492" spans="1:8" hidden="1" x14ac:dyDescent="0.45">
      <c r="A492">
        <v>490</v>
      </c>
      <c r="B492" t="s">
        <v>8</v>
      </c>
      <c r="C492" s="3">
        <v>475418.32419951499</v>
      </c>
      <c r="D492" s="3">
        <v>476900.3</v>
      </c>
      <c r="E492" s="3">
        <v>269180.15733770397</v>
      </c>
      <c r="F492" s="3">
        <v>718225.24281861703</v>
      </c>
      <c r="G492" s="1">
        <v>44620</v>
      </c>
      <c r="H492" s="2">
        <v>45261</v>
      </c>
    </row>
    <row r="493" spans="1:8" hidden="1" x14ac:dyDescent="0.45">
      <c r="A493">
        <v>491</v>
      </c>
      <c r="B493" t="s">
        <v>8</v>
      </c>
      <c r="C493" s="3">
        <v>1243698.5168208999</v>
      </c>
      <c r="D493" s="3">
        <v>774273.60999999905</v>
      </c>
      <c r="E493" s="3">
        <v>826650.86512683996</v>
      </c>
      <c r="F493" s="3">
        <v>1703163.7479965901</v>
      </c>
      <c r="G493" s="1">
        <v>44620</v>
      </c>
      <c r="H493" s="2">
        <v>45292</v>
      </c>
    </row>
    <row r="494" spans="1:8" hidden="1" x14ac:dyDescent="0.45">
      <c r="A494">
        <v>492</v>
      </c>
      <c r="B494" t="s">
        <v>8</v>
      </c>
      <c r="C494" s="3">
        <v>928422.28302910703</v>
      </c>
      <c r="D494" s="3">
        <v>501740.97</v>
      </c>
      <c r="E494" s="3">
        <v>607453.06429245404</v>
      </c>
      <c r="F494" s="3">
        <v>1270868.6992883601</v>
      </c>
      <c r="G494" s="1">
        <v>44620</v>
      </c>
      <c r="H494" s="2">
        <v>45323</v>
      </c>
    </row>
    <row r="495" spans="1:8" hidden="1" x14ac:dyDescent="0.45">
      <c r="A495">
        <v>493</v>
      </c>
      <c r="B495" t="s">
        <v>8</v>
      </c>
      <c r="C495" s="3">
        <v>923469.561678892</v>
      </c>
      <c r="D495" s="3">
        <v>507830.45</v>
      </c>
      <c r="E495" s="3">
        <v>410562.42819965398</v>
      </c>
      <c r="F495" s="3">
        <v>1564301.66439093</v>
      </c>
      <c r="G495" s="1">
        <v>44620</v>
      </c>
      <c r="H495" s="2">
        <v>45352</v>
      </c>
    </row>
    <row r="496" spans="1:8" hidden="1" x14ac:dyDescent="0.45">
      <c r="A496">
        <v>494</v>
      </c>
      <c r="B496" t="s">
        <v>8</v>
      </c>
      <c r="C496" s="3">
        <v>820380.15924634703</v>
      </c>
      <c r="D496" s="3">
        <v>769018.84</v>
      </c>
      <c r="E496" s="3">
        <v>316683.36993482098</v>
      </c>
      <c r="F496" s="3">
        <v>1401275.58624629</v>
      </c>
      <c r="G496" s="1">
        <v>44620</v>
      </c>
      <c r="H496" s="2">
        <v>45383</v>
      </c>
    </row>
    <row r="497" spans="1:8" hidden="1" x14ac:dyDescent="0.45">
      <c r="A497">
        <v>495</v>
      </c>
      <c r="B497" t="s">
        <v>8</v>
      </c>
      <c r="C497" s="3">
        <v>1225265.51437579</v>
      </c>
      <c r="D497" s="3">
        <v>414480.71</v>
      </c>
      <c r="E497" s="3">
        <v>577553.21306765499</v>
      </c>
      <c r="F497" s="3">
        <v>1988943.5575852201</v>
      </c>
      <c r="G497" s="1">
        <v>44620</v>
      </c>
      <c r="H497" s="2">
        <v>45413</v>
      </c>
    </row>
    <row r="498" spans="1:8" hidden="1" x14ac:dyDescent="0.45">
      <c r="A498">
        <v>496</v>
      </c>
      <c r="B498" t="s">
        <v>8</v>
      </c>
      <c r="C498" s="3">
        <v>2507420.7801346299</v>
      </c>
      <c r="D498" s="3">
        <v>458221.79</v>
      </c>
      <c r="E498" s="3">
        <v>1495170.98098421</v>
      </c>
      <c r="F498" s="3">
        <v>3570569.46003934</v>
      </c>
      <c r="G498" s="1">
        <v>44620</v>
      </c>
      <c r="H498" s="2">
        <v>45444</v>
      </c>
    </row>
    <row r="499" spans="1:8" hidden="1" x14ac:dyDescent="0.45">
      <c r="A499">
        <v>497</v>
      </c>
      <c r="B499" t="s">
        <v>8</v>
      </c>
      <c r="C499" s="3">
        <v>2905763.9492743099</v>
      </c>
      <c r="D499" s="3">
        <v>486771.05</v>
      </c>
      <c r="E499" s="3">
        <v>1873850.7741887399</v>
      </c>
      <c r="F499" s="3">
        <v>3925383.0157447001</v>
      </c>
      <c r="G499" s="1">
        <v>44620</v>
      </c>
      <c r="H499" s="2">
        <v>45474</v>
      </c>
    </row>
    <row r="500" spans="1:8" hidden="1" x14ac:dyDescent="0.45">
      <c r="A500">
        <v>498</v>
      </c>
      <c r="B500" t="s">
        <v>8</v>
      </c>
      <c r="C500" s="3">
        <v>1306888.8719317899</v>
      </c>
      <c r="D500" s="3">
        <v>450894.09</v>
      </c>
      <c r="E500" s="3">
        <v>772206.00625682704</v>
      </c>
      <c r="F500" s="3">
        <v>1948568.7622086499</v>
      </c>
      <c r="G500" s="1">
        <v>44620</v>
      </c>
      <c r="H500" s="2">
        <v>45505</v>
      </c>
    </row>
    <row r="501" spans="1:8" hidden="1" x14ac:dyDescent="0.45">
      <c r="A501">
        <v>499</v>
      </c>
      <c r="B501" t="s">
        <v>8</v>
      </c>
      <c r="C501" s="3">
        <v>1888650.6411200101</v>
      </c>
      <c r="D501" s="3">
        <v>833704.91</v>
      </c>
      <c r="E501" s="3">
        <v>1200802.1281292399</v>
      </c>
      <c r="F501" s="3">
        <v>2630817.5188934202</v>
      </c>
      <c r="G501" s="1">
        <v>44620</v>
      </c>
      <c r="H501" s="2">
        <v>45536</v>
      </c>
    </row>
    <row r="502" spans="1:8" hidden="1" x14ac:dyDescent="0.45">
      <c r="A502">
        <v>500</v>
      </c>
      <c r="B502" t="s">
        <v>8</v>
      </c>
      <c r="C502" s="3">
        <v>1052712.25618274</v>
      </c>
      <c r="D502" s="3">
        <v>347289.39999999898</v>
      </c>
      <c r="E502" s="3">
        <v>624124.82718389598</v>
      </c>
      <c r="F502" s="3">
        <v>1522984.7629451901</v>
      </c>
      <c r="G502" s="1">
        <v>44620</v>
      </c>
      <c r="H502" s="2">
        <v>45566</v>
      </c>
    </row>
    <row r="503" spans="1:8" hidden="1" x14ac:dyDescent="0.45">
      <c r="A503">
        <v>501</v>
      </c>
      <c r="B503" t="s">
        <v>8</v>
      </c>
      <c r="C503" s="3">
        <v>2811679.6725214398</v>
      </c>
      <c r="D503" s="3"/>
      <c r="E503" s="3">
        <v>1941077.3890422401</v>
      </c>
      <c r="F503" s="3">
        <v>3711372.3959661298</v>
      </c>
      <c r="G503" s="1">
        <v>44620</v>
      </c>
      <c r="H503" s="2">
        <v>45597</v>
      </c>
    </row>
    <row r="504" spans="1:8" hidden="1" x14ac:dyDescent="0.45">
      <c r="A504">
        <v>502</v>
      </c>
      <c r="B504" t="s">
        <v>8</v>
      </c>
      <c r="C504" s="3">
        <v>419863.73360146</v>
      </c>
      <c r="D504" s="3"/>
      <c r="E504" s="3">
        <v>226408.88662372099</v>
      </c>
      <c r="F504" s="3">
        <v>639890.64051162801</v>
      </c>
      <c r="G504" s="1">
        <v>44620</v>
      </c>
      <c r="H504" s="2">
        <v>45627</v>
      </c>
    </row>
    <row r="505" spans="1:8" hidden="1" x14ac:dyDescent="0.45">
      <c r="A505">
        <v>503</v>
      </c>
      <c r="B505" t="s">
        <v>8</v>
      </c>
      <c r="C505" s="3">
        <v>1098344.6993678899</v>
      </c>
      <c r="D505" s="3"/>
      <c r="E505" s="3">
        <v>691296.16332731396</v>
      </c>
      <c r="F505" s="3">
        <v>1525122.48901204</v>
      </c>
      <c r="G505" s="1">
        <v>44620</v>
      </c>
      <c r="H505" s="2">
        <v>45658</v>
      </c>
    </row>
    <row r="506" spans="1:8" hidden="1" x14ac:dyDescent="0.45">
      <c r="A506">
        <v>504</v>
      </c>
      <c r="B506" t="s">
        <v>8</v>
      </c>
      <c r="C506" s="3">
        <v>820296.815306979</v>
      </c>
      <c r="D506" s="3"/>
      <c r="E506" s="3">
        <v>521434.76362037502</v>
      </c>
      <c r="F506" s="3">
        <v>1151636.08950235</v>
      </c>
      <c r="G506" s="1">
        <v>44620</v>
      </c>
      <c r="H506" s="2">
        <v>45689</v>
      </c>
    </row>
    <row r="507" spans="1:8" hidden="1" x14ac:dyDescent="0.45">
      <c r="A507">
        <v>505</v>
      </c>
      <c r="B507" t="s">
        <v>8</v>
      </c>
      <c r="C507" s="3">
        <v>814823.15446040698</v>
      </c>
      <c r="D507" s="3"/>
      <c r="E507" s="3">
        <v>341680.05268648802</v>
      </c>
      <c r="F507" s="3">
        <v>1390413.53729448</v>
      </c>
      <c r="G507" s="1">
        <v>44620</v>
      </c>
      <c r="H507" s="2">
        <v>45717</v>
      </c>
    </row>
    <row r="508" spans="1:8" hidden="1" x14ac:dyDescent="0.45">
      <c r="A508">
        <v>506</v>
      </c>
      <c r="B508" t="s">
        <v>8</v>
      </c>
      <c r="C508" s="3">
        <v>724345.59529197903</v>
      </c>
      <c r="D508" s="3"/>
      <c r="E508" s="3">
        <v>280113.372776312</v>
      </c>
      <c r="F508" s="3">
        <v>1260677.8226985501</v>
      </c>
      <c r="G508" s="1">
        <v>44620</v>
      </c>
      <c r="H508" s="2">
        <v>45748</v>
      </c>
    </row>
    <row r="509" spans="1:8" hidden="1" x14ac:dyDescent="0.45">
      <c r="A509">
        <v>507</v>
      </c>
      <c r="B509" t="s">
        <v>8</v>
      </c>
      <c r="C509" s="3">
        <v>1082036.9517749699</v>
      </c>
      <c r="D509" s="3"/>
      <c r="E509" s="3">
        <v>491501.31341024698</v>
      </c>
      <c r="F509" s="3">
        <v>1768336.5697665601</v>
      </c>
      <c r="G509" s="1">
        <v>44620</v>
      </c>
      <c r="H509" s="2">
        <v>45778</v>
      </c>
    </row>
    <row r="510" spans="1:8" hidden="1" x14ac:dyDescent="0.45">
      <c r="A510">
        <v>508</v>
      </c>
      <c r="B510" t="s">
        <v>8</v>
      </c>
      <c r="C510" s="3">
        <v>2214887.9344454599</v>
      </c>
      <c r="D510" s="3"/>
      <c r="E510" s="3">
        <v>1269337.1425286999</v>
      </c>
      <c r="F510" s="3">
        <v>3217023.8571959902</v>
      </c>
      <c r="G510" s="1">
        <v>44620</v>
      </c>
      <c r="H510" s="2">
        <v>45809</v>
      </c>
    </row>
    <row r="511" spans="1:8" hidden="1" x14ac:dyDescent="0.45">
      <c r="A511">
        <v>509</v>
      </c>
      <c r="B511" t="s">
        <v>8</v>
      </c>
      <c r="C511" s="3">
        <v>2567214.2006911901</v>
      </c>
      <c r="D511" s="3"/>
      <c r="E511" s="3">
        <v>1595332.20460548</v>
      </c>
      <c r="F511" s="3">
        <v>3568203.6783711598</v>
      </c>
      <c r="G511" s="1">
        <v>44620</v>
      </c>
      <c r="H511" s="2">
        <v>45839</v>
      </c>
    </row>
    <row r="512" spans="1:8" hidden="1" x14ac:dyDescent="0.45">
      <c r="A512">
        <v>510</v>
      </c>
      <c r="B512" t="s">
        <v>8</v>
      </c>
      <c r="C512" s="3">
        <v>1154627.4851700701</v>
      </c>
      <c r="D512" s="3"/>
      <c r="E512" s="3">
        <v>656988.05955822801</v>
      </c>
      <c r="F512" s="3">
        <v>1746292.04963809</v>
      </c>
      <c r="G512" s="1">
        <v>44620</v>
      </c>
      <c r="H512" s="2">
        <v>45870</v>
      </c>
    </row>
    <row r="513" spans="1:8" hidden="1" x14ac:dyDescent="0.45">
      <c r="A513">
        <v>511</v>
      </c>
      <c r="B513" t="s">
        <v>8</v>
      </c>
      <c r="C513" s="3">
        <v>1669308.9860363801</v>
      </c>
      <c r="D513" s="3"/>
      <c r="E513" s="3">
        <v>1015014.88856904</v>
      </c>
      <c r="F513" s="3">
        <v>2380269.9625958898</v>
      </c>
      <c r="G513" s="1">
        <v>44620</v>
      </c>
      <c r="H513" s="2">
        <v>45901</v>
      </c>
    </row>
    <row r="514" spans="1:8" hidden="1" x14ac:dyDescent="0.45">
      <c r="A514">
        <v>512</v>
      </c>
      <c r="B514" t="s">
        <v>8</v>
      </c>
      <c r="C514" s="3">
        <v>931034.44298367598</v>
      </c>
      <c r="D514" s="3"/>
      <c r="E514" s="3">
        <v>522979.90725126601</v>
      </c>
      <c r="F514" s="3">
        <v>1372792.58219081</v>
      </c>
      <c r="G514" s="1">
        <v>44620</v>
      </c>
      <c r="H514" s="2">
        <v>45931</v>
      </c>
    </row>
    <row r="515" spans="1:8" hidden="1" x14ac:dyDescent="0.45">
      <c r="A515">
        <v>513</v>
      </c>
      <c r="B515" t="s">
        <v>7</v>
      </c>
      <c r="C515" s="3">
        <v>81933.198054777793</v>
      </c>
      <c r="D515" s="3">
        <v>28250.62</v>
      </c>
      <c r="E515" s="3">
        <v>45546.161722490397</v>
      </c>
      <c r="F515" s="3">
        <v>120450.615710938</v>
      </c>
      <c r="G515" s="1">
        <v>44651</v>
      </c>
      <c r="H515" s="2">
        <v>44228</v>
      </c>
    </row>
    <row r="516" spans="1:8" hidden="1" x14ac:dyDescent="0.45">
      <c r="A516">
        <v>514</v>
      </c>
      <c r="B516" t="s">
        <v>7</v>
      </c>
      <c r="C516" s="3">
        <v>219739.864784359</v>
      </c>
      <c r="D516" s="3">
        <v>36247.919999999998</v>
      </c>
      <c r="E516" s="3">
        <v>136642.038432951</v>
      </c>
      <c r="F516" s="3">
        <v>303409.54007273703</v>
      </c>
      <c r="G516" s="1">
        <v>44651</v>
      </c>
      <c r="H516" s="2">
        <v>44256</v>
      </c>
    </row>
    <row r="517" spans="1:8" hidden="1" x14ac:dyDescent="0.45">
      <c r="A517">
        <v>515</v>
      </c>
      <c r="B517" t="s">
        <v>7</v>
      </c>
      <c r="C517" s="3">
        <v>128060.880723378</v>
      </c>
      <c r="D517" s="3">
        <v>14721.48</v>
      </c>
      <c r="E517" s="3">
        <v>56719.562006981498</v>
      </c>
      <c r="F517" s="3">
        <v>206304.47379866801</v>
      </c>
      <c r="G517" s="1">
        <v>44651</v>
      </c>
      <c r="H517" s="2">
        <v>44287</v>
      </c>
    </row>
    <row r="518" spans="1:8" hidden="1" x14ac:dyDescent="0.45">
      <c r="A518">
        <v>516</v>
      </c>
      <c r="B518" t="s">
        <v>7</v>
      </c>
      <c r="C518" s="3">
        <v>206738.760117689</v>
      </c>
      <c r="D518" s="3">
        <v>94346.71</v>
      </c>
      <c r="E518" s="3">
        <v>105821.065938117</v>
      </c>
      <c r="F518" s="3">
        <v>319790.99237065698</v>
      </c>
      <c r="G518" s="1">
        <v>44651</v>
      </c>
      <c r="H518" s="2">
        <v>44317</v>
      </c>
    </row>
    <row r="519" spans="1:8" hidden="1" x14ac:dyDescent="0.45">
      <c r="A519">
        <v>517</v>
      </c>
      <c r="B519" t="s">
        <v>7</v>
      </c>
      <c r="C519" s="3">
        <v>700408.38020210597</v>
      </c>
      <c r="D519" s="3">
        <v>970740.72</v>
      </c>
      <c r="E519" s="3">
        <v>485450.14167710202</v>
      </c>
      <c r="F519" s="3">
        <v>919135.14544646</v>
      </c>
      <c r="G519" s="1">
        <v>44651</v>
      </c>
      <c r="H519" s="2">
        <v>44348</v>
      </c>
    </row>
    <row r="520" spans="1:8" hidden="1" x14ac:dyDescent="0.45">
      <c r="A520">
        <v>518</v>
      </c>
      <c r="B520" t="s">
        <v>7</v>
      </c>
      <c r="C520" s="3">
        <v>1616447.42868006</v>
      </c>
      <c r="D520" s="3">
        <v>1798271.24</v>
      </c>
      <c r="E520" s="3">
        <v>1254460.69376546</v>
      </c>
      <c r="F520" s="3">
        <v>1979596.67796022</v>
      </c>
      <c r="G520" s="1">
        <v>44651</v>
      </c>
      <c r="H520" s="2">
        <v>44378</v>
      </c>
    </row>
    <row r="521" spans="1:8" hidden="1" x14ac:dyDescent="0.45">
      <c r="A521">
        <v>519</v>
      </c>
      <c r="B521" t="s">
        <v>7</v>
      </c>
      <c r="C521" s="3">
        <v>901466.15139666898</v>
      </c>
      <c r="D521" s="3">
        <v>700449.31</v>
      </c>
      <c r="E521" s="3">
        <v>607994.17374144704</v>
      </c>
      <c r="F521" s="3">
        <v>1204655.8875951499</v>
      </c>
      <c r="G521" s="1">
        <v>44651</v>
      </c>
      <c r="H521" s="2">
        <v>44409</v>
      </c>
    </row>
    <row r="522" spans="1:8" hidden="1" x14ac:dyDescent="0.45">
      <c r="A522">
        <v>520</v>
      </c>
      <c r="B522" t="s">
        <v>7</v>
      </c>
      <c r="C522" s="3">
        <v>1439892.9246639099</v>
      </c>
      <c r="D522" s="3">
        <v>1784906.52</v>
      </c>
      <c r="E522" s="3">
        <v>1054525.3781331601</v>
      </c>
      <c r="F522" s="3">
        <v>1858943.3877582201</v>
      </c>
      <c r="G522" s="1">
        <v>44651</v>
      </c>
      <c r="H522" s="2">
        <v>44440</v>
      </c>
    </row>
    <row r="523" spans="1:8" hidden="1" x14ac:dyDescent="0.45">
      <c r="A523">
        <v>521</v>
      </c>
      <c r="B523" t="s">
        <v>7</v>
      </c>
      <c r="C523" s="3">
        <v>920659.19757919305</v>
      </c>
      <c r="D523" s="3">
        <v>706422.77</v>
      </c>
      <c r="E523" s="3">
        <v>610209.18641761597</v>
      </c>
      <c r="F523" s="3">
        <v>1242887.65225653</v>
      </c>
      <c r="G523" s="1">
        <v>44651</v>
      </c>
      <c r="H523" s="2">
        <v>44470</v>
      </c>
    </row>
    <row r="524" spans="1:8" hidden="1" x14ac:dyDescent="0.45">
      <c r="A524">
        <v>522</v>
      </c>
      <c r="B524" t="s">
        <v>7</v>
      </c>
      <c r="C524" s="3">
        <v>2702116.7048253398</v>
      </c>
      <c r="D524" s="3">
        <v>3115611.92</v>
      </c>
      <c r="E524" s="3">
        <v>2165473.3314647102</v>
      </c>
      <c r="F524" s="3">
        <v>3266609.8256607698</v>
      </c>
      <c r="G524" s="1">
        <v>44651</v>
      </c>
      <c r="H524" s="2">
        <v>44501</v>
      </c>
    </row>
    <row r="525" spans="1:8" hidden="1" x14ac:dyDescent="0.45">
      <c r="A525">
        <v>523</v>
      </c>
      <c r="B525" t="s">
        <v>7</v>
      </c>
      <c r="C525" s="3">
        <v>560446.02955565497</v>
      </c>
      <c r="D525" s="3">
        <v>227049.91</v>
      </c>
      <c r="E525" s="3">
        <v>318476.07965046499</v>
      </c>
      <c r="F525" s="3">
        <v>814921.74773203896</v>
      </c>
      <c r="G525" s="1">
        <v>44651</v>
      </c>
      <c r="H525" s="2">
        <v>44531</v>
      </c>
    </row>
    <row r="526" spans="1:8" hidden="1" x14ac:dyDescent="0.45">
      <c r="A526">
        <v>524</v>
      </c>
      <c r="B526" t="s">
        <v>7</v>
      </c>
      <c r="C526" s="3">
        <v>1332097.78979912</v>
      </c>
      <c r="D526" s="3">
        <v>1231496.1499999999</v>
      </c>
      <c r="E526" s="3">
        <v>931321.29924809595</v>
      </c>
      <c r="F526" s="3">
        <v>1752118.2902818599</v>
      </c>
      <c r="G526" s="1">
        <v>44651</v>
      </c>
      <c r="H526" s="2">
        <v>44562</v>
      </c>
    </row>
    <row r="527" spans="1:8" hidden="1" x14ac:dyDescent="0.45">
      <c r="A527">
        <v>525</v>
      </c>
      <c r="B527" t="s">
        <v>7</v>
      </c>
      <c r="C527" s="3">
        <v>1090573.3701732501</v>
      </c>
      <c r="D527" s="3">
        <v>1031231.86</v>
      </c>
      <c r="E527" s="3">
        <v>750414.40209665801</v>
      </c>
      <c r="F527" s="3">
        <v>1465020.9060358901</v>
      </c>
      <c r="G527" s="1">
        <v>44651</v>
      </c>
      <c r="H527" s="2">
        <v>44593</v>
      </c>
    </row>
    <row r="528" spans="1:8" hidden="1" x14ac:dyDescent="0.45">
      <c r="A528">
        <v>526</v>
      </c>
      <c r="B528" t="s">
        <v>7</v>
      </c>
      <c r="C528" s="3">
        <v>2699662.7326497901</v>
      </c>
      <c r="D528" s="3">
        <v>2866780.02</v>
      </c>
      <c r="E528" s="3">
        <v>2108048.3621722702</v>
      </c>
      <c r="F528" s="3">
        <v>3318371.60687359</v>
      </c>
      <c r="G528" s="1">
        <v>44651</v>
      </c>
      <c r="H528" s="2">
        <v>44621</v>
      </c>
    </row>
    <row r="529" spans="1:8" hidden="1" x14ac:dyDescent="0.45">
      <c r="A529">
        <v>527</v>
      </c>
      <c r="B529" t="s">
        <v>8</v>
      </c>
      <c r="C529" s="3">
        <v>1345573.71310831</v>
      </c>
      <c r="D529" s="3">
        <v>87615.31</v>
      </c>
      <c r="E529" s="3">
        <v>602899.69161338103</v>
      </c>
      <c r="F529" s="3">
        <v>2160455.0151354098</v>
      </c>
      <c r="G529" s="1">
        <v>44651</v>
      </c>
      <c r="H529" s="2">
        <v>44652</v>
      </c>
    </row>
    <row r="530" spans="1:8" hidden="1" x14ac:dyDescent="0.45">
      <c r="A530">
        <v>528</v>
      </c>
      <c r="B530" t="s">
        <v>8</v>
      </c>
      <c r="C530" s="3">
        <v>1816138.06771231</v>
      </c>
      <c r="D530" s="3">
        <v>571005.66999999899</v>
      </c>
      <c r="E530" s="3">
        <v>820102.04225295398</v>
      </c>
      <c r="F530" s="3">
        <v>2820837.2898105299</v>
      </c>
      <c r="G530" s="1">
        <v>44651</v>
      </c>
      <c r="H530" s="2">
        <v>44682</v>
      </c>
    </row>
    <row r="531" spans="1:8" hidden="1" x14ac:dyDescent="0.45">
      <c r="A531">
        <v>529</v>
      </c>
      <c r="B531" t="s">
        <v>8</v>
      </c>
      <c r="C531" s="3">
        <v>3517036.4857932199</v>
      </c>
      <c r="D531" s="3">
        <v>1241965.7</v>
      </c>
      <c r="E531" s="3">
        <v>2258975.5036470401</v>
      </c>
      <c r="F531" s="3">
        <v>4868235.8103630003</v>
      </c>
      <c r="G531" s="1">
        <v>44651</v>
      </c>
      <c r="H531" s="2">
        <v>44713</v>
      </c>
    </row>
    <row r="532" spans="1:8" hidden="1" x14ac:dyDescent="0.45">
      <c r="A532">
        <v>530</v>
      </c>
      <c r="B532" t="s">
        <v>8</v>
      </c>
      <c r="C532" s="3">
        <v>4038426.8208280499</v>
      </c>
      <c r="D532" s="3">
        <v>735568.79</v>
      </c>
      <c r="E532" s="3">
        <v>2718135.2892721798</v>
      </c>
      <c r="F532" s="3">
        <v>5336632.8660139497</v>
      </c>
      <c r="G532" s="1">
        <v>44651</v>
      </c>
      <c r="H532" s="2">
        <v>44743</v>
      </c>
    </row>
    <row r="533" spans="1:8" hidden="1" x14ac:dyDescent="0.45">
      <c r="A533">
        <v>531</v>
      </c>
      <c r="B533" t="s">
        <v>8</v>
      </c>
      <c r="C533" s="3">
        <v>1882672.06133088</v>
      </c>
      <c r="D533" s="3">
        <v>1098902.42</v>
      </c>
      <c r="E533" s="3">
        <v>1094533.4906524699</v>
      </c>
      <c r="F533" s="3">
        <v>2803167.7141979001</v>
      </c>
      <c r="G533" s="1">
        <v>44651</v>
      </c>
      <c r="H533" s="2">
        <v>44774</v>
      </c>
    </row>
    <row r="534" spans="1:8" hidden="1" x14ac:dyDescent="0.45">
      <c r="A534">
        <v>532</v>
      </c>
      <c r="B534" t="s">
        <v>8</v>
      </c>
      <c r="C534" s="3">
        <v>2621130.2702335999</v>
      </c>
      <c r="D534" s="3">
        <v>773265.43</v>
      </c>
      <c r="E534" s="3">
        <v>1727075.5704860101</v>
      </c>
      <c r="F534" s="3">
        <v>3569257.79075704</v>
      </c>
      <c r="G534" s="1">
        <v>44651</v>
      </c>
      <c r="H534" s="2">
        <v>44805</v>
      </c>
    </row>
    <row r="535" spans="1:8" hidden="1" x14ac:dyDescent="0.45">
      <c r="A535">
        <v>533</v>
      </c>
      <c r="B535" t="s">
        <v>8</v>
      </c>
      <c r="C535" s="3">
        <v>1551228.27161221</v>
      </c>
      <c r="D535" s="3">
        <v>734611.55</v>
      </c>
      <c r="E535" s="3">
        <v>918967.98773133196</v>
      </c>
      <c r="F535" s="3">
        <v>2263084.7523636199</v>
      </c>
      <c r="G535" s="1">
        <v>44651</v>
      </c>
      <c r="H535" s="2">
        <v>44835</v>
      </c>
    </row>
    <row r="536" spans="1:8" hidden="1" x14ac:dyDescent="0.45">
      <c r="A536">
        <v>534</v>
      </c>
      <c r="B536" t="s">
        <v>8</v>
      </c>
      <c r="C536" s="3">
        <v>3787008.8629337898</v>
      </c>
      <c r="D536" s="3">
        <v>1455102.42</v>
      </c>
      <c r="E536" s="3">
        <v>2820567.2838152298</v>
      </c>
      <c r="F536" s="3">
        <v>4816776.71100285</v>
      </c>
      <c r="G536" s="1">
        <v>44651</v>
      </c>
      <c r="H536" s="2">
        <v>44866</v>
      </c>
    </row>
    <row r="537" spans="1:8" hidden="1" x14ac:dyDescent="0.45">
      <c r="A537">
        <v>535</v>
      </c>
      <c r="B537" t="s">
        <v>8</v>
      </c>
      <c r="C537" s="3">
        <v>662033.61966749094</v>
      </c>
      <c r="D537" s="3">
        <v>267818.71999999997</v>
      </c>
      <c r="E537" s="3">
        <v>364083.58413945499</v>
      </c>
      <c r="F537" s="3">
        <v>1009484.79366565</v>
      </c>
      <c r="G537" s="1">
        <v>44651</v>
      </c>
      <c r="H537" s="2">
        <v>44896</v>
      </c>
    </row>
    <row r="538" spans="1:8" hidden="1" x14ac:dyDescent="0.45">
      <c r="A538">
        <v>536</v>
      </c>
      <c r="B538" t="s">
        <v>8</v>
      </c>
      <c r="C538" s="3">
        <v>1487048.52761814</v>
      </c>
      <c r="D538" s="3">
        <v>811413.55</v>
      </c>
      <c r="E538" s="3">
        <v>952705.73739589599</v>
      </c>
      <c r="F538" s="3">
        <v>2040016.06609827</v>
      </c>
      <c r="G538" s="1">
        <v>44651</v>
      </c>
      <c r="H538" s="2">
        <v>44927</v>
      </c>
    </row>
    <row r="539" spans="1:8" hidden="1" x14ac:dyDescent="0.45">
      <c r="A539">
        <v>537</v>
      </c>
      <c r="B539" t="s">
        <v>8</v>
      </c>
      <c r="C539" s="3">
        <v>1116204.2379854501</v>
      </c>
      <c r="D539" s="3">
        <v>747765.39</v>
      </c>
      <c r="E539" s="3">
        <v>711810.03386904404</v>
      </c>
      <c r="F539" s="3">
        <v>1533739.7506702</v>
      </c>
      <c r="G539" s="1">
        <v>44651</v>
      </c>
      <c r="H539" s="2">
        <v>44958</v>
      </c>
    </row>
    <row r="540" spans="1:8" hidden="1" x14ac:dyDescent="0.45">
      <c r="A540">
        <v>538</v>
      </c>
      <c r="B540" t="s">
        <v>8</v>
      </c>
      <c r="C540" s="3">
        <v>2589793.0322871301</v>
      </c>
      <c r="D540" s="3">
        <v>447557.09</v>
      </c>
      <c r="E540" s="3">
        <v>1879733.8474471101</v>
      </c>
      <c r="F540" s="3">
        <v>3323784.5136094498</v>
      </c>
      <c r="G540" s="1">
        <v>44651</v>
      </c>
      <c r="H540" s="2">
        <v>44986</v>
      </c>
    </row>
    <row r="541" spans="1:8" hidden="1" x14ac:dyDescent="0.45">
      <c r="A541">
        <v>539</v>
      </c>
      <c r="B541" t="s">
        <v>8</v>
      </c>
      <c r="C541" s="3">
        <v>1236937.78299858</v>
      </c>
      <c r="D541" s="3">
        <v>788005.16999999899</v>
      </c>
      <c r="E541" s="3">
        <v>522563.2069927</v>
      </c>
      <c r="F541" s="3">
        <v>2029468.2584575401</v>
      </c>
      <c r="G541" s="1">
        <v>44651</v>
      </c>
      <c r="H541" s="2">
        <v>45017</v>
      </c>
    </row>
    <row r="542" spans="1:8" hidden="1" x14ac:dyDescent="0.45">
      <c r="A542">
        <v>540</v>
      </c>
      <c r="B542" t="s">
        <v>8</v>
      </c>
      <c r="C542" s="3">
        <v>1613979.5621535899</v>
      </c>
      <c r="D542" s="3">
        <v>754925.83999999904</v>
      </c>
      <c r="E542" s="3">
        <v>684233.55104470404</v>
      </c>
      <c r="F542" s="3">
        <v>2536718.1787078599</v>
      </c>
      <c r="G542" s="1">
        <v>44651</v>
      </c>
      <c r="H542" s="2">
        <v>45047</v>
      </c>
    </row>
    <row r="543" spans="1:8" hidden="1" x14ac:dyDescent="0.45">
      <c r="A543">
        <v>541</v>
      </c>
      <c r="B543" t="s">
        <v>8</v>
      </c>
      <c r="C543" s="3">
        <v>2968724.1212215298</v>
      </c>
      <c r="D543" s="3">
        <v>680317.24</v>
      </c>
      <c r="E543" s="3">
        <v>1826752.5771224401</v>
      </c>
      <c r="F543" s="3">
        <v>4212573.8726178203</v>
      </c>
      <c r="G543" s="1">
        <v>44651</v>
      </c>
      <c r="H543" s="2">
        <v>45078</v>
      </c>
    </row>
    <row r="544" spans="1:8" hidden="1" x14ac:dyDescent="0.45">
      <c r="A544">
        <v>542</v>
      </c>
      <c r="B544" t="s">
        <v>8</v>
      </c>
      <c r="C544" s="3">
        <v>3328054.9679240999</v>
      </c>
      <c r="D544" s="3">
        <v>696261.1</v>
      </c>
      <c r="E544" s="3">
        <v>2210859.0821075598</v>
      </c>
      <c r="F544" s="3">
        <v>4460767.4978483897</v>
      </c>
      <c r="G544" s="1">
        <v>44651</v>
      </c>
      <c r="H544" s="2">
        <v>45108</v>
      </c>
    </row>
    <row r="545" spans="1:8" hidden="1" x14ac:dyDescent="0.45">
      <c r="A545">
        <v>543</v>
      </c>
      <c r="B545" t="s">
        <v>8</v>
      </c>
      <c r="C545" s="3">
        <v>1550366.54575534</v>
      </c>
      <c r="D545" s="3">
        <v>728381.02999999898</v>
      </c>
      <c r="E545" s="3">
        <v>890953.68485724903</v>
      </c>
      <c r="F545" s="3">
        <v>2296325.3202298898</v>
      </c>
      <c r="G545" s="1">
        <v>44651</v>
      </c>
      <c r="H545" s="2">
        <v>45139</v>
      </c>
    </row>
    <row r="546" spans="1:8" hidden="1" x14ac:dyDescent="0.45">
      <c r="A546">
        <v>544</v>
      </c>
      <c r="B546" t="s">
        <v>8</v>
      </c>
      <c r="C546" s="3">
        <v>2132903.21858468</v>
      </c>
      <c r="D546" s="3">
        <v>776408.57</v>
      </c>
      <c r="E546" s="3">
        <v>1396159.3929429399</v>
      </c>
      <c r="F546" s="3">
        <v>2931398.6677362602</v>
      </c>
      <c r="G546" s="1">
        <v>44651</v>
      </c>
      <c r="H546" s="2">
        <v>45170</v>
      </c>
    </row>
    <row r="547" spans="1:8" hidden="1" x14ac:dyDescent="0.45">
      <c r="A547">
        <v>545</v>
      </c>
      <c r="B547" t="s">
        <v>8</v>
      </c>
      <c r="C547" s="3">
        <v>1258193.8957469501</v>
      </c>
      <c r="D547" s="3">
        <v>699446.36</v>
      </c>
      <c r="E547" s="3">
        <v>725063.86310111603</v>
      </c>
      <c r="F547" s="3">
        <v>1836954.1336900201</v>
      </c>
      <c r="G547" s="1">
        <v>44651</v>
      </c>
      <c r="H547" s="2">
        <v>45200</v>
      </c>
    </row>
    <row r="548" spans="1:8" hidden="1" x14ac:dyDescent="0.45">
      <c r="A548">
        <v>546</v>
      </c>
      <c r="B548" t="s">
        <v>8</v>
      </c>
      <c r="C548" s="3">
        <v>3036257.6695462698</v>
      </c>
      <c r="D548" s="3">
        <v>1114767.8700000001</v>
      </c>
      <c r="E548" s="3">
        <v>2235689.6716080201</v>
      </c>
      <c r="F548" s="3">
        <v>3899302.0146034099</v>
      </c>
      <c r="G548" s="1">
        <v>44651</v>
      </c>
      <c r="H548" s="2">
        <v>45231</v>
      </c>
    </row>
    <row r="549" spans="1:8" hidden="1" x14ac:dyDescent="0.45">
      <c r="A549">
        <v>547</v>
      </c>
      <c r="B549" t="s">
        <v>8</v>
      </c>
      <c r="C549" s="3">
        <v>533804.80505200406</v>
      </c>
      <c r="D549" s="3">
        <v>489581.7</v>
      </c>
      <c r="E549" s="3">
        <v>284766.849061382</v>
      </c>
      <c r="F549" s="3">
        <v>813101.65562851005</v>
      </c>
      <c r="G549" s="1">
        <v>44651</v>
      </c>
      <c r="H549" s="2">
        <v>45261</v>
      </c>
    </row>
    <row r="550" spans="1:8" hidden="1" x14ac:dyDescent="0.45">
      <c r="A550">
        <v>548</v>
      </c>
      <c r="B550" t="s">
        <v>8</v>
      </c>
      <c r="C550" s="3">
        <v>1195725.7199593999</v>
      </c>
      <c r="D550" s="3">
        <v>797235.03999999899</v>
      </c>
      <c r="E550" s="3">
        <v>765708.94445088599</v>
      </c>
      <c r="F550" s="3">
        <v>1656501.4610034099</v>
      </c>
      <c r="G550" s="1">
        <v>44651</v>
      </c>
      <c r="H550" s="2">
        <v>45292</v>
      </c>
    </row>
    <row r="551" spans="1:8" hidden="1" x14ac:dyDescent="0.45">
      <c r="A551">
        <v>549</v>
      </c>
      <c r="B551" t="s">
        <v>8</v>
      </c>
      <c r="C551" s="3">
        <v>897903.61195544701</v>
      </c>
      <c r="D551" s="3">
        <v>516330.86</v>
      </c>
      <c r="E551" s="3">
        <v>569842.593678014</v>
      </c>
      <c r="F551" s="3">
        <v>1246982.0644943099</v>
      </c>
      <c r="G551" s="1">
        <v>44651</v>
      </c>
      <c r="H551" s="2">
        <v>45323</v>
      </c>
    </row>
    <row r="552" spans="1:8" hidden="1" x14ac:dyDescent="0.45">
      <c r="A552">
        <v>550</v>
      </c>
      <c r="B552" t="s">
        <v>8</v>
      </c>
      <c r="C552" s="3">
        <v>2067404.2168636899</v>
      </c>
      <c r="D552" s="3">
        <v>520056.31</v>
      </c>
      <c r="E552" s="3">
        <v>1489227.93270334</v>
      </c>
      <c r="F552" s="3">
        <v>2683306.5299601802</v>
      </c>
      <c r="G552" s="1">
        <v>44651</v>
      </c>
      <c r="H552" s="2">
        <v>45352</v>
      </c>
    </row>
    <row r="553" spans="1:8" hidden="1" x14ac:dyDescent="0.45">
      <c r="A553">
        <v>551</v>
      </c>
      <c r="B553" t="s">
        <v>8</v>
      </c>
      <c r="C553" s="3">
        <v>989602.96645583701</v>
      </c>
      <c r="D553" s="3">
        <v>791028.9</v>
      </c>
      <c r="E553" s="3">
        <v>422340.75698640803</v>
      </c>
      <c r="F553" s="3">
        <v>1632957.6246961199</v>
      </c>
      <c r="G553" s="1">
        <v>44651</v>
      </c>
      <c r="H553" s="2">
        <v>45383</v>
      </c>
    </row>
    <row r="554" spans="1:8" hidden="1" x14ac:dyDescent="0.45">
      <c r="A554">
        <v>552</v>
      </c>
      <c r="B554" t="s">
        <v>8</v>
      </c>
      <c r="C554" s="3">
        <v>1293898.8198323599</v>
      </c>
      <c r="D554" s="3">
        <v>429712.48</v>
      </c>
      <c r="E554" s="3">
        <v>562774.152431458</v>
      </c>
      <c r="F554" s="3">
        <v>2046823.6024261599</v>
      </c>
      <c r="G554" s="1">
        <v>44651</v>
      </c>
      <c r="H554" s="2">
        <v>45413</v>
      </c>
    </row>
    <row r="555" spans="1:8" hidden="1" x14ac:dyDescent="0.45">
      <c r="A555">
        <v>553</v>
      </c>
      <c r="B555" t="s">
        <v>8</v>
      </c>
      <c r="C555" s="3">
        <v>2382212.1059487499</v>
      </c>
      <c r="D555" s="3">
        <v>471512.6</v>
      </c>
      <c r="E555" s="3">
        <v>1441648.69901584</v>
      </c>
      <c r="F555" s="3">
        <v>3386254.4154033102</v>
      </c>
      <c r="G555" s="1">
        <v>44651</v>
      </c>
      <c r="H555" s="2">
        <v>45444</v>
      </c>
    </row>
    <row r="556" spans="1:8" hidden="1" x14ac:dyDescent="0.45">
      <c r="A556">
        <v>554</v>
      </c>
      <c r="B556" t="s">
        <v>8</v>
      </c>
      <c r="C556" s="3">
        <v>2670081.9984050798</v>
      </c>
      <c r="D556" s="3">
        <v>503914.76</v>
      </c>
      <c r="E556" s="3">
        <v>1754159.7877116201</v>
      </c>
      <c r="F556" s="3">
        <v>3603769.51992804</v>
      </c>
      <c r="G556" s="1">
        <v>44651</v>
      </c>
      <c r="H556" s="2">
        <v>45474</v>
      </c>
    </row>
    <row r="557" spans="1:8" hidden="1" x14ac:dyDescent="0.45">
      <c r="A557">
        <v>555</v>
      </c>
      <c r="B557" t="s">
        <v>8</v>
      </c>
      <c r="C557" s="3">
        <v>1246333.08427222</v>
      </c>
      <c r="D557" s="3">
        <v>463591.48</v>
      </c>
      <c r="E557" s="3">
        <v>719712.04290289094</v>
      </c>
      <c r="F557" s="3">
        <v>1858224.0813734301</v>
      </c>
      <c r="G557" s="1">
        <v>44651</v>
      </c>
      <c r="H557" s="2">
        <v>45505</v>
      </c>
    </row>
    <row r="558" spans="1:8" hidden="1" x14ac:dyDescent="0.45">
      <c r="A558">
        <v>556</v>
      </c>
      <c r="B558" t="s">
        <v>8</v>
      </c>
      <c r="C558" s="3">
        <v>1715380.9588335799</v>
      </c>
      <c r="D558" s="3">
        <v>857343.97</v>
      </c>
      <c r="E558" s="3">
        <v>1102234.2742977301</v>
      </c>
      <c r="F558" s="3">
        <v>2370718.71505717</v>
      </c>
      <c r="G558" s="1">
        <v>44651</v>
      </c>
      <c r="H558" s="2">
        <v>45536</v>
      </c>
    </row>
    <row r="559" spans="1:8" hidden="1" x14ac:dyDescent="0.45">
      <c r="A559">
        <v>557</v>
      </c>
      <c r="B559" t="s">
        <v>8</v>
      </c>
      <c r="C559" s="3">
        <v>1012110.11562901</v>
      </c>
      <c r="D559" s="3">
        <v>357625.74</v>
      </c>
      <c r="E559" s="3">
        <v>588077.68652183097</v>
      </c>
      <c r="F559" s="3">
        <v>1488894.13152334</v>
      </c>
      <c r="G559" s="1">
        <v>44651</v>
      </c>
      <c r="H559" s="2">
        <v>45566</v>
      </c>
    </row>
    <row r="560" spans="1:8" hidden="1" x14ac:dyDescent="0.45">
      <c r="A560">
        <v>558</v>
      </c>
      <c r="B560" t="s">
        <v>8</v>
      </c>
      <c r="C560" s="3">
        <v>2441063.9450389799</v>
      </c>
      <c r="D560" s="3"/>
      <c r="E560" s="3">
        <v>1754279.4404333399</v>
      </c>
      <c r="F560" s="3">
        <v>3166195.4169346699</v>
      </c>
      <c r="G560" s="1">
        <v>44651</v>
      </c>
      <c r="H560" s="2">
        <v>45597</v>
      </c>
    </row>
    <row r="561" spans="1:8" hidden="1" x14ac:dyDescent="0.45">
      <c r="A561">
        <v>559</v>
      </c>
      <c r="B561" t="s">
        <v>8</v>
      </c>
      <c r="C561" s="3">
        <v>430549.64310041198</v>
      </c>
      <c r="D561" s="3"/>
      <c r="E561" s="3">
        <v>226347.525921922</v>
      </c>
      <c r="F561" s="3">
        <v>661054.62562571105</v>
      </c>
      <c r="G561" s="1">
        <v>44651</v>
      </c>
      <c r="H561" s="2">
        <v>45627</v>
      </c>
    </row>
    <row r="562" spans="1:8" hidden="1" x14ac:dyDescent="0.45">
      <c r="A562">
        <v>560</v>
      </c>
      <c r="B562" t="s">
        <v>8</v>
      </c>
      <c r="C562" s="3">
        <v>967340.76753681595</v>
      </c>
      <c r="D562" s="3"/>
      <c r="E562" s="3">
        <v>611100.79938976199</v>
      </c>
      <c r="F562" s="3">
        <v>1349932.6465163601</v>
      </c>
      <c r="G562" s="1">
        <v>44651</v>
      </c>
      <c r="H562" s="2">
        <v>45658</v>
      </c>
    </row>
    <row r="563" spans="1:8" hidden="1" x14ac:dyDescent="0.45">
      <c r="A563">
        <v>561</v>
      </c>
      <c r="B563" t="s">
        <v>8</v>
      </c>
      <c r="C563" s="3">
        <v>726311.28622578003</v>
      </c>
      <c r="D563" s="3"/>
      <c r="E563" s="3">
        <v>453044.07546883897</v>
      </c>
      <c r="F563" s="3">
        <v>1017637.66756396</v>
      </c>
      <c r="G563" s="1">
        <v>44651</v>
      </c>
      <c r="H563" s="2">
        <v>45689</v>
      </c>
    </row>
    <row r="564" spans="1:8" hidden="1" x14ac:dyDescent="0.45">
      <c r="A564">
        <v>562</v>
      </c>
      <c r="B564" t="s">
        <v>8</v>
      </c>
      <c r="C564" s="3">
        <v>1664506.40761983</v>
      </c>
      <c r="D564" s="3"/>
      <c r="E564" s="3">
        <v>1177856.3764816299</v>
      </c>
      <c r="F564" s="3">
        <v>2189331.6694979402</v>
      </c>
      <c r="G564" s="1">
        <v>44651</v>
      </c>
      <c r="H564" s="2">
        <v>45717</v>
      </c>
    </row>
    <row r="565" spans="1:8" hidden="1" x14ac:dyDescent="0.45">
      <c r="A565">
        <v>563</v>
      </c>
      <c r="B565" t="s">
        <v>8</v>
      </c>
      <c r="C565" s="3">
        <v>798654.66903265798</v>
      </c>
      <c r="D565" s="3"/>
      <c r="E565" s="3">
        <v>336776.52910767402</v>
      </c>
      <c r="F565" s="3">
        <v>1323573.0298345699</v>
      </c>
      <c r="G565" s="1">
        <v>44651</v>
      </c>
      <c r="H565" s="2">
        <v>45748</v>
      </c>
    </row>
    <row r="566" spans="1:8" hidden="1" x14ac:dyDescent="0.45">
      <c r="A566">
        <v>564</v>
      </c>
      <c r="B566" t="s">
        <v>8</v>
      </c>
      <c r="C566" s="3">
        <v>1045832.3289138</v>
      </c>
      <c r="D566" s="3"/>
      <c r="E566" s="3">
        <v>455459.76845795999</v>
      </c>
      <c r="F566" s="3">
        <v>1668715.84950995</v>
      </c>
      <c r="G566" s="1">
        <v>44651</v>
      </c>
      <c r="H566" s="2">
        <v>45778</v>
      </c>
    </row>
    <row r="567" spans="1:8" hidden="1" x14ac:dyDescent="0.45">
      <c r="A567">
        <v>565</v>
      </c>
      <c r="B567" t="s">
        <v>8</v>
      </c>
      <c r="C567" s="3">
        <v>1928668.5164910399</v>
      </c>
      <c r="D567" s="3"/>
      <c r="E567" s="3">
        <v>1151658.4289613999</v>
      </c>
      <c r="F567" s="3">
        <v>2768903.0644021598</v>
      </c>
      <c r="G567" s="1">
        <v>44651</v>
      </c>
      <c r="H567" s="2">
        <v>45809</v>
      </c>
    </row>
    <row r="568" spans="1:8" hidden="1" x14ac:dyDescent="0.45">
      <c r="A568">
        <v>566</v>
      </c>
      <c r="B568" t="s">
        <v>8</v>
      </c>
      <c r="C568" s="3">
        <v>2160760.6565627698</v>
      </c>
      <c r="D568" s="3"/>
      <c r="E568" s="3">
        <v>1386119.3318614601</v>
      </c>
      <c r="F568" s="3">
        <v>2940721.5619502999</v>
      </c>
      <c r="G568" s="1">
        <v>44651</v>
      </c>
      <c r="H568" s="2">
        <v>45839</v>
      </c>
    </row>
    <row r="569" spans="1:8" hidden="1" x14ac:dyDescent="0.45">
      <c r="A569">
        <v>567</v>
      </c>
      <c r="B569" t="s">
        <v>8</v>
      </c>
      <c r="C569" s="3">
        <v>1009537.20058402</v>
      </c>
      <c r="D569" s="3"/>
      <c r="E569" s="3">
        <v>569994.10876126599</v>
      </c>
      <c r="F569" s="3">
        <v>1509010.6513818901</v>
      </c>
      <c r="G569" s="1">
        <v>44651</v>
      </c>
      <c r="H569" s="2">
        <v>45870</v>
      </c>
    </row>
    <row r="570" spans="1:8" hidden="1" x14ac:dyDescent="0.45">
      <c r="A570">
        <v>568</v>
      </c>
      <c r="B570" t="s">
        <v>8</v>
      </c>
      <c r="C570" s="3">
        <v>1392283.79613879</v>
      </c>
      <c r="D570" s="3"/>
      <c r="E570" s="3">
        <v>878797.63896853197</v>
      </c>
      <c r="F570" s="3">
        <v>1943731.0869126699</v>
      </c>
      <c r="G570" s="1">
        <v>44651</v>
      </c>
      <c r="H570" s="2">
        <v>45901</v>
      </c>
    </row>
    <row r="571" spans="1:8" hidden="1" x14ac:dyDescent="0.45">
      <c r="A571">
        <v>569</v>
      </c>
      <c r="B571" t="s">
        <v>8</v>
      </c>
      <c r="C571" s="3">
        <v>821245.15142987599</v>
      </c>
      <c r="D571" s="3"/>
      <c r="E571" s="3">
        <v>467131.99601376499</v>
      </c>
      <c r="F571" s="3">
        <v>1213487.19779166</v>
      </c>
      <c r="G571" s="1">
        <v>44651</v>
      </c>
      <c r="H571" s="2">
        <v>45931</v>
      </c>
    </row>
    <row r="572" spans="1:8" hidden="1" x14ac:dyDescent="0.45">
      <c r="A572">
        <v>570</v>
      </c>
      <c r="B572" t="s">
        <v>7</v>
      </c>
      <c r="C572" s="3">
        <v>93839.791221425898</v>
      </c>
      <c r="D572" s="3">
        <v>28250.62</v>
      </c>
      <c r="E572" s="3">
        <v>54001.754081833598</v>
      </c>
      <c r="F572" s="3">
        <v>143295.32778187201</v>
      </c>
      <c r="G572" s="1">
        <v>44681</v>
      </c>
      <c r="H572" s="2">
        <v>44228</v>
      </c>
    </row>
    <row r="573" spans="1:8" hidden="1" x14ac:dyDescent="0.45">
      <c r="A573">
        <v>571</v>
      </c>
      <c r="B573" t="s">
        <v>7</v>
      </c>
      <c r="C573" s="3">
        <v>258738.56297319999</v>
      </c>
      <c r="D573" s="3">
        <v>36247.919999999998</v>
      </c>
      <c r="E573" s="3">
        <v>149284.31666346799</v>
      </c>
      <c r="F573" s="3">
        <v>359041.77338855102</v>
      </c>
      <c r="G573" s="1">
        <v>44681</v>
      </c>
      <c r="H573" s="2">
        <v>44256</v>
      </c>
    </row>
    <row r="574" spans="1:8" hidden="1" x14ac:dyDescent="0.45">
      <c r="A574">
        <v>572</v>
      </c>
      <c r="B574" t="s">
        <v>7</v>
      </c>
      <c r="C574" s="3">
        <v>44597.020193650998</v>
      </c>
      <c r="D574" s="3">
        <v>14721.48</v>
      </c>
      <c r="E574" s="3">
        <v>17860.654369786898</v>
      </c>
      <c r="F574" s="3">
        <v>75350.526624280305</v>
      </c>
      <c r="G574" s="1">
        <v>44681</v>
      </c>
      <c r="H574" s="2">
        <v>44287</v>
      </c>
    </row>
    <row r="575" spans="1:8" hidden="1" x14ac:dyDescent="0.45">
      <c r="A575">
        <v>573</v>
      </c>
      <c r="B575" t="s">
        <v>7</v>
      </c>
      <c r="C575" s="3">
        <v>213610.013124586</v>
      </c>
      <c r="D575" s="3">
        <v>94346.71</v>
      </c>
      <c r="E575" s="3">
        <v>102031.126781328</v>
      </c>
      <c r="F575" s="3">
        <v>340309.40503341</v>
      </c>
      <c r="G575" s="1">
        <v>44681</v>
      </c>
      <c r="H575" s="2">
        <v>44317</v>
      </c>
    </row>
    <row r="576" spans="1:8" hidden="1" x14ac:dyDescent="0.45">
      <c r="A576">
        <v>574</v>
      </c>
      <c r="B576" t="s">
        <v>7</v>
      </c>
      <c r="C576" s="3">
        <v>716736.86786814197</v>
      </c>
      <c r="D576" s="3">
        <v>970740.72</v>
      </c>
      <c r="E576" s="3">
        <v>453536.16825976199</v>
      </c>
      <c r="F576" s="3">
        <v>983617.266992933</v>
      </c>
      <c r="G576" s="1">
        <v>44681</v>
      </c>
      <c r="H576" s="2">
        <v>44348</v>
      </c>
    </row>
    <row r="577" spans="1:8" hidden="1" x14ac:dyDescent="0.45">
      <c r="A577">
        <v>575</v>
      </c>
      <c r="B577" t="s">
        <v>7</v>
      </c>
      <c r="C577" s="3">
        <v>1643445.4532689</v>
      </c>
      <c r="D577" s="3">
        <v>1798271.24</v>
      </c>
      <c r="E577" s="3">
        <v>1217948.0853703001</v>
      </c>
      <c r="F577" s="3">
        <v>2062731.7634258601</v>
      </c>
      <c r="G577" s="1">
        <v>44681</v>
      </c>
      <c r="H577" s="2">
        <v>44378</v>
      </c>
    </row>
    <row r="578" spans="1:8" hidden="1" x14ac:dyDescent="0.45">
      <c r="A578">
        <v>576</v>
      </c>
      <c r="B578" t="s">
        <v>7</v>
      </c>
      <c r="C578" s="3">
        <v>894140.36505682801</v>
      </c>
      <c r="D578" s="3">
        <v>700449.31</v>
      </c>
      <c r="E578" s="3">
        <v>585525.17789768998</v>
      </c>
      <c r="F578" s="3">
        <v>1209690.9116936501</v>
      </c>
      <c r="G578" s="1">
        <v>44681</v>
      </c>
      <c r="H578" s="2">
        <v>44409</v>
      </c>
    </row>
    <row r="579" spans="1:8" hidden="1" x14ac:dyDescent="0.45">
      <c r="A579">
        <v>577</v>
      </c>
      <c r="B579" t="s">
        <v>7</v>
      </c>
      <c r="C579" s="3">
        <v>1419440.05117786</v>
      </c>
      <c r="D579" s="3">
        <v>1784906.52</v>
      </c>
      <c r="E579" s="3">
        <v>992086.43617809506</v>
      </c>
      <c r="F579" s="3">
        <v>1842846.2264288999</v>
      </c>
      <c r="G579" s="1">
        <v>44681</v>
      </c>
      <c r="H579" s="2">
        <v>44440</v>
      </c>
    </row>
    <row r="580" spans="1:8" hidden="1" x14ac:dyDescent="0.45">
      <c r="A580">
        <v>578</v>
      </c>
      <c r="B580" t="s">
        <v>7</v>
      </c>
      <c r="C580" s="3">
        <v>902761.722591714</v>
      </c>
      <c r="D580" s="3">
        <v>706422.77</v>
      </c>
      <c r="E580" s="3">
        <v>567916.20777180302</v>
      </c>
      <c r="F580" s="3">
        <v>1258757.70149687</v>
      </c>
      <c r="G580" s="1">
        <v>44681</v>
      </c>
      <c r="H580" s="2">
        <v>44470</v>
      </c>
    </row>
    <row r="581" spans="1:8" hidden="1" x14ac:dyDescent="0.45">
      <c r="A581">
        <v>579</v>
      </c>
      <c r="B581" t="s">
        <v>7</v>
      </c>
      <c r="C581" s="3">
        <v>2662738.17355876</v>
      </c>
      <c r="D581" s="3">
        <v>3115611.92</v>
      </c>
      <c r="E581" s="3">
        <v>2068327.9730473901</v>
      </c>
      <c r="F581" s="3">
        <v>3262728.17175582</v>
      </c>
      <c r="G581" s="1">
        <v>44681</v>
      </c>
      <c r="H581" s="2">
        <v>44501</v>
      </c>
    </row>
    <row r="582" spans="1:8" hidden="1" x14ac:dyDescent="0.45">
      <c r="A582">
        <v>580</v>
      </c>
      <c r="B582" t="s">
        <v>7</v>
      </c>
      <c r="C582" s="3">
        <v>531248.69740056398</v>
      </c>
      <c r="D582" s="3">
        <v>227049.91</v>
      </c>
      <c r="E582" s="3">
        <v>285054.04418399301</v>
      </c>
      <c r="F582" s="3">
        <v>806875.33308912499</v>
      </c>
      <c r="G582" s="1">
        <v>44681</v>
      </c>
      <c r="H582" s="2">
        <v>44531</v>
      </c>
    </row>
    <row r="583" spans="1:8" hidden="1" x14ac:dyDescent="0.45">
      <c r="A583">
        <v>581</v>
      </c>
      <c r="B583" t="s">
        <v>7</v>
      </c>
      <c r="C583" s="3">
        <v>1288241.5166392999</v>
      </c>
      <c r="D583" s="3">
        <v>1231496.1499999999</v>
      </c>
      <c r="E583" s="3">
        <v>851812.49223179102</v>
      </c>
      <c r="F583" s="3">
        <v>1755069.0075466</v>
      </c>
      <c r="G583" s="1">
        <v>44681</v>
      </c>
      <c r="H583" s="2">
        <v>44562</v>
      </c>
    </row>
    <row r="584" spans="1:8" hidden="1" x14ac:dyDescent="0.45">
      <c r="A584">
        <v>582</v>
      </c>
      <c r="B584" t="s">
        <v>7</v>
      </c>
      <c r="C584" s="3">
        <v>1032150.16434606</v>
      </c>
      <c r="D584" s="3">
        <v>1031231.86</v>
      </c>
      <c r="E584" s="3">
        <v>664925.80045430397</v>
      </c>
      <c r="F584" s="3">
        <v>1441804.605312</v>
      </c>
      <c r="G584" s="1">
        <v>44681</v>
      </c>
      <c r="H584" s="2">
        <v>44593</v>
      </c>
    </row>
    <row r="585" spans="1:8" hidden="1" x14ac:dyDescent="0.45">
      <c r="A585">
        <v>583</v>
      </c>
      <c r="B585" t="s">
        <v>7</v>
      </c>
      <c r="C585" s="3">
        <v>2602383.0482358299</v>
      </c>
      <c r="D585" s="3">
        <v>2866780.02</v>
      </c>
      <c r="E585" s="3">
        <v>1972192.61125355</v>
      </c>
      <c r="F585" s="3">
        <v>3246202.4768862901</v>
      </c>
      <c r="G585" s="1">
        <v>44681</v>
      </c>
      <c r="H585" s="2">
        <v>44621</v>
      </c>
    </row>
    <row r="586" spans="1:8" hidden="1" x14ac:dyDescent="0.45">
      <c r="A586">
        <v>584</v>
      </c>
      <c r="B586" t="s">
        <v>7</v>
      </c>
      <c r="C586" s="3">
        <v>357924.52435951598</v>
      </c>
      <c r="D586" s="3">
        <v>106305.83</v>
      </c>
      <c r="E586" s="3">
        <v>175277.52017207799</v>
      </c>
      <c r="F586" s="3">
        <v>568758.89721991296</v>
      </c>
      <c r="G586" s="1">
        <v>44681</v>
      </c>
      <c r="H586" s="2">
        <v>44652</v>
      </c>
    </row>
    <row r="587" spans="1:8" hidden="1" x14ac:dyDescent="0.45">
      <c r="A587">
        <v>585</v>
      </c>
      <c r="B587" t="s">
        <v>8</v>
      </c>
      <c r="C587" s="3">
        <v>1691284.94119344</v>
      </c>
      <c r="D587" s="3">
        <v>653790.38999999897</v>
      </c>
      <c r="E587" s="3">
        <v>741367.00808905798</v>
      </c>
      <c r="F587" s="3">
        <v>2776545.77435116</v>
      </c>
      <c r="G587" s="1">
        <v>44681</v>
      </c>
      <c r="H587" s="2">
        <v>44682</v>
      </c>
    </row>
    <row r="588" spans="1:8" hidden="1" x14ac:dyDescent="0.45">
      <c r="A588">
        <v>586</v>
      </c>
      <c r="B588" t="s">
        <v>8</v>
      </c>
      <c r="C588" s="3">
        <v>3502755.0051211999</v>
      </c>
      <c r="D588" s="3">
        <v>1341962.74</v>
      </c>
      <c r="E588" s="3">
        <v>1991920.79292384</v>
      </c>
      <c r="F588" s="3">
        <v>5147939.43712084</v>
      </c>
      <c r="G588" s="1">
        <v>44681</v>
      </c>
      <c r="H588" s="2">
        <v>44713</v>
      </c>
    </row>
    <row r="589" spans="1:8" hidden="1" x14ac:dyDescent="0.45">
      <c r="A589">
        <v>587</v>
      </c>
      <c r="B589" t="s">
        <v>8</v>
      </c>
      <c r="C589" s="3">
        <v>4228725.5676467204</v>
      </c>
      <c r="D589" s="3">
        <v>846948.84</v>
      </c>
      <c r="E589" s="3">
        <v>2679230.3792649498</v>
      </c>
      <c r="F589" s="3">
        <v>5842922.38749862</v>
      </c>
      <c r="G589" s="1">
        <v>44681</v>
      </c>
      <c r="H589" s="2">
        <v>44743</v>
      </c>
    </row>
    <row r="590" spans="1:8" hidden="1" x14ac:dyDescent="0.45">
      <c r="A590">
        <v>588</v>
      </c>
      <c r="B590" t="s">
        <v>8</v>
      </c>
      <c r="C590" s="3">
        <v>1812570.3073442201</v>
      </c>
      <c r="D590" s="3">
        <v>1214530.7</v>
      </c>
      <c r="E590" s="3">
        <v>986868.83707534196</v>
      </c>
      <c r="F590" s="3">
        <v>2740431.2832965502</v>
      </c>
      <c r="G590" s="1">
        <v>44681</v>
      </c>
      <c r="H590" s="2">
        <v>44774</v>
      </c>
    </row>
    <row r="591" spans="1:8" hidden="1" x14ac:dyDescent="0.45">
      <c r="A591">
        <v>589</v>
      </c>
      <c r="B591" t="s">
        <v>8</v>
      </c>
      <c r="C591" s="3">
        <v>2598394.20182171</v>
      </c>
      <c r="D591" s="3">
        <v>852101.97</v>
      </c>
      <c r="E591" s="3">
        <v>1564297.8638027001</v>
      </c>
      <c r="F591" s="3">
        <v>3719280.2159706601</v>
      </c>
      <c r="G591" s="1">
        <v>44681</v>
      </c>
      <c r="H591" s="2">
        <v>44805</v>
      </c>
    </row>
    <row r="592" spans="1:8" hidden="1" x14ac:dyDescent="0.45">
      <c r="A592">
        <v>590</v>
      </c>
      <c r="B592" t="s">
        <v>8</v>
      </c>
      <c r="C592" s="3">
        <v>1502496.3464824799</v>
      </c>
      <c r="D592" s="3">
        <v>823935.05</v>
      </c>
      <c r="E592" s="3">
        <v>782392.13901708694</v>
      </c>
      <c r="F592" s="3">
        <v>2252804.5848640199</v>
      </c>
      <c r="G592" s="1">
        <v>44681</v>
      </c>
      <c r="H592" s="2">
        <v>44835</v>
      </c>
    </row>
    <row r="593" spans="1:8" hidden="1" x14ac:dyDescent="0.45">
      <c r="A593">
        <v>591</v>
      </c>
      <c r="B593" t="s">
        <v>8</v>
      </c>
      <c r="C593" s="3">
        <v>3820947.66579177</v>
      </c>
      <c r="D593" s="3">
        <v>1684919.1</v>
      </c>
      <c r="E593" s="3">
        <v>2681039.3687693002</v>
      </c>
      <c r="F593" s="3">
        <v>4991669.3624526896</v>
      </c>
      <c r="G593" s="1">
        <v>44681</v>
      </c>
      <c r="H593" s="2">
        <v>44866</v>
      </c>
    </row>
    <row r="594" spans="1:8" hidden="1" x14ac:dyDescent="0.45">
      <c r="A594">
        <v>592</v>
      </c>
      <c r="B594" t="s">
        <v>8</v>
      </c>
      <c r="C594" s="3">
        <v>626682.813163994</v>
      </c>
      <c r="D594" s="3">
        <v>291469.68</v>
      </c>
      <c r="E594" s="3">
        <v>284469.11099107598</v>
      </c>
      <c r="F594" s="3">
        <v>1002566.6944239601</v>
      </c>
      <c r="G594" s="1">
        <v>44681</v>
      </c>
      <c r="H594" s="2">
        <v>44896</v>
      </c>
    </row>
    <row r="595" spans="1:8" hidden="1" x14ac:dyDescent="0.45">
      <c r="A595">
        <v>593</v>
      </c>
      <c r="B595" t="s">
        <v>8</v>
      </c>
      <c r="C595" s="3">
        <v>1488740.46931057</v>
      </c>
      <c r="D595" s="3">
        <v>889588.55</v>
      </c>
      <c r="E595" s="3">
        <v>887337.95693730598</v>
      </c>
      <c r="F595" s="3">
        <v>2141680.78261668</v>
      </c>
      <c r="G595" s="1">
        <v>44681</v>
      </c>
      <c r="H595" s="2">
        <v>44927</v>
      </c>
    </row>
    <row r="596" spans="1:8" hidden="1" x14ac:dyDescent="0.45">
      <c r="A596">
        <v>594</v>
      </c>
      <c r="B596" t="s">
        <v>8</v>
      </c>
      <c r="C596" s="3">
        <v>1110679.93891772</v>
      </c>
      <c r="D596" s="3">
        <v>804383.07</v>
      </c>
      <c r="E596" s="3">
        <v>647240.77893874701</v>
      </c>
      <c r="F596" s="3">
        <v>1625155.64862407</v>
      </c>
      <c r="G596" s="1">
        <v>44681</v>
      </c>
      <c r="H596" s="2">
        <v>44958</v>
      </c>
    </row>
    <row r="597" spans="1:8" hidden="1" x14ac:dyDescent="0.45">
      <c r="A597">
        <v>595</v>
      </c>
      <c r="B597" t="s">
        <v>8</v>
      </c>
      <c r="C597" s="3">
        <v>2647696.1911361199</v>
      </c>
      <c r="D597" s="3">
        <v>487103.88</v>
      </c>
      <c r="E597" s="3">
        <v>1843388.9031223101</v>
      </c>
      <c r="F597" s="3">
        <v>3492468.7233111002</v>
      </c>
      <c r="G597" s="1">
        <v>44681</v>
      </c>
      <c r="H597" s="2">
        <v>44986</v>
      </c>
    </row>
    <row r="598" spans="1:8" hidden="1" x14ac:dyDescent="0.45">
      <c r="A598">
        <v>596</v>
      </c>
      <c r="B598" t="s">
        <v>8</v>
      </c>
      <c r="C598" s="3">
        <v>295883.96944203501</v>
      </c>
      <c r="D598" s="3">
        <v>848869.62999999896</v>
      </c>
      <c r="E598" s="3">
        <v>140958.63150496699</v>
      </c>
      <c r="F598" s="3">
        <v>475192.99392385001</v>
      </c>
      <c r="G598" s="1">
        <v>44681</v>
      </c>
      <c r="H598" s="2">
        <v>45017</v>
      </c>
    </row>
    <row r="599" spans="1:8" hidden="1" x14ac:dyDescent="0.45">
      <c r="A599">
        <v>597</v>
      </c>
      <c r="B599" t="s">
        <v>8</v>
      </c>
      <c r="C599" s="3">
        <v>1402999.73142247</v>
      </c>
      <c r="D599" s="3">
        <v>848746.47999999905</v>
      </c>
      <c r="E599" s="3">
        <v>582260.07384492399</v>
      </c>
      <c r="F599" s="3">
        <v>2353569.6011328599</v>
      </c>
      <c r="G599" s="1">
        <v>44681</v>
      </c>
      <c r="H599" s="2">
        <v>45047</v>
      </c>
    </row>
    <row r="600" spans="1:8" hidden="1" x14ac:dyDescent="0.45">
      <c r="A600">
        <v>598</v>
      </c>
      <c r="B600" t="s">
        <v>8</v>
      </c>
      <c r="C600" s="3">
        <v>2750313.04688774</v>
      </c>
      <c r="D600" s="3">
        <v>731833.17</v>
      </c>
      <c r="E600" s="3">
        <v>1524203.6332499101</v>
      </c>
      <c r="F600" s="3">
        <v>4101505.8262040601</v>
      </c>
      <c r="G600" s="1">
        <v>44681</v>
      </c>
      <c r="H600" s="2">
        <v>45078</v>
      </c>
    </row>
    <row r="601" spans="1:8" hidden="1" x14ac:dyDescent="0.45">
      <c r="A601">
        <v>599</v>
      </c>
      <c r="B601" t="s">
        <v>8</v>
      </c>
      <c r="C601" s="3">
        <v>3270321.9278002698</v>
      </c>
      <c r="D601" s="3">
        <v>757769.80999999901</v>
      </c>
      <c r="E601" s="3">
        <v>1976609.57560665</v>
      </c>
      <c r="F601" s="3">
        <v>4569495.0751052396</v>
      </c>
      <c r="G601" s="1">
        <v>44681</v>
      </c>
      <c r="H601" s="2">
        <v>45108</v>
      </c>
    </row>
    <row r="602" spans="1:8" hidden="1" x14ac:dyDescent="0.45">
      <c r="A602">
        <v>600</v>
      </c>
      <c r="B602" t="s">
        <v>8</v>
      </c>
      <c r="C602" s="3">
        <v>1427779.8823563701</v>
      </c>
      <c r="D602" s="3">
        <v>792918.38999999897</v>
      </c>
      <c r="E602" s="3">
        <v>725890.39455225598</v>
      </c>
      <c r="F602" s="3">
        <v>2221023.4036768102</v>
      </c>
      <c r="G602" s="1">
        <v>44681</v>
      </c>
      <c r="H602" s="2">
        <v>45139</v>
      </c>
    </row>
    <row r="603" spans="1:8" hidden="1" x14ac:dyDescent="0.45">
      <c r="A603">
        <v>601</v>
      </c>
      <c r="B603" t="s">
        <v>8</v>
      </c>
      <c r="C603" s="3">
        <v>2010765.7491910199</v>
      </c>
      <c r="D603" s="3">
        <v>841504.97</v>
      </c>
      <c r="E603" s="3">
        <v>1141772.6679336401</v>
      </c>
      <c r="F603" s="3">
        <v>2921852.2140981001</v>
      </c>
      <c r="G603" s="1">
        <v>44681</v>
      </c>
      <c r="H603" s="2">
        <v>45170</v>
      </c>
    </row>
    <row r="604" spans="1:8" hidden="1" x14ac:dyDescent="0.45">
      <c r="A604">
        <v>602</v>
      </c>
      <c r="B604" t="s">
        <v>8</v>
      </c>
      <c r="C604" s="3">
        <v>1154755.3932473899</v>
      </c>
      <c r="D604" s="3">
        <v>756906.02</v>
      </c>
      <c r="E604" s="3">
        <v>583515.12836600398</v>
      </c>
      <c r="F604" s="3">
        <v>1766189.9981919101</v>
      </c>
      <c r="G604" s="1">
        <v>44681</v>
      </c>
      <c r="H604" s="2">
        <v>45200</v>
      </c>
    </row>
    <row r="605" spans="1:8" hidden="1" x14ac:dyDescent="0.45">
      <c r="A605">
        <v>603</v>
      </c>
      <c r="B605" t="s">
        <v>8</v>
      </c>
      <c r="C605" s="3">
        <v>2873375.4802502999</v>
      </c>
      <c r="D605" s="3">
        <v>1251681.5799999901</v>
      </c>
      <c r="E605" s="3">
        <v>1939156.5361939799</v>
      </c>
      <c r="F605" s="3">
        <v>3801594.45575603</v>
      </c>
      <c r="G605" s="1">
        <v>44681</v>
      </c>
      <c r="H605" s="2">
        <v>45231</v>
      </c>
    </row>
    <row r="606" spans="1:8" hidden="1" x14ac:dyDescent="0.45">
      <c r="A606">
        <v>604</v>
      </c>
      <c r="B606" t="s">
        <v>8</v>
      </c>
      <c r="C606" s="3">
        <v>478883.71702133602</v>
      </c>
      <c r="D606" s="3">
        <v>538116.52</v>
      </c>
      <c r="E606" s="3">
        <v>209290.969964485</v>
      </c>
      <c r="F606" s="3">
        <v>770177.77675435902</v>
      </c>
      <c r="G606" s="1">
        <v>44681</v>
      </c>
      <c r="H606" s="2">
        <v>45261</v>
      </c>
    </row>
    <row r="607" spans="1:8" hidden="1" x14ac:dyDescent="0.45">
      <c r="A607">
        <v>605</v>
      </c>
      <c r="B607" t="s">
        <v>8</v>
      </c>
      <c r="C607" s="3">
        <v>1134209.58601599</v>
      </c>
      <c r="D607" s="3">
        <v>860056.48</v>
      </c>
      <c r="E607" s="3">
        <v>667127.14103855798</v>
      </c>
      <c r="F607" s="3">
        <v>1652050.1319343201</v>
      </c>
      <c r="G607" s="1">
        <v>44681</v>
      </c>
      <c r="H607" s="2">
        <v>45292</v>
      </c>
    </row>
    <row r="608" spans="1:8" hidden="1" x14ac:dyDescent="0.45">
      <c r="A608">
        <v>606</v>
      </c>
      <c r="B608" t="s">
        <v>8</v>
      </c>
      <c r="C608" s="3">
        <v>845017.56119896995</v>
      </c>
      <c r="D608" s="3">
        <v>567536.48</v>
      </c>
      <c r="E608" s="3">
        <v>480981.16798109398</v>
      </c>
      <c r="F608" s="3">
        <v>1243333.0516563901</v>
      </c>
      <c r="G608" s="1">
        <v>44681</v>
      </c>
      <c r="H608" s="2">
        <v>45323</v>
      </c>
    </row>
    <row r="609" spans="1:8" hidden="1" x14ac:dyDescent="0.45">
      <c r="A609">
        <v>607</v>
      </c>
      <c r="B609" t="s">
        <v>8</v>
      </c>
      <c r="C609" s="3">
        <v>1997216.8655560999</v>
      </c>
      <c r="D609" s="3">
        <v>563397.27</v>
      </c>
      <c r="E609" s="3">
        <v>1355566.3267429899</v>
      </c>
      <c r="F609" s="3">
        <v>2653800.9287670199</v>
      </c>
      <c r="G609" s="1">
        <v>44681</v>
      </c>
      <c r="H609" s="2">
        <v>45352</v>
      </c>
    </row>
    <row r="610" spans="1:8" hidden="1" x14ac:dyDescent="0.45">
      <c r="A610">
        <v>608</v>
      </c>
      <c r="B610" t="s">
        <v>8</v>
      </c>
      <c r="C610" s="3">
        <v>224689.945467641</v>
      </c>
      <c r="D610" s="3">
        <v>882931</v>
      </c>
      <c r="E610" s="3">
        <v>102399.46852951701</v>
      </c>
      <c r="F610" s="3">
        <v>358294.45261674299</v>
      </c>
      <c r="G610" s="1">
        <v>44681</v>
      </c>
      <c r="H610" s="2">
        <v>45383</v>
      </c>
    </row>
    <row r="611" spans="1:8" hidden="1" x14ac:dyDescent="0.45">
      <c r="A611">
        <v>609</v>
      </c>
      <c r="B611" t="s">
        <v>8</v>
      </c>
      <c r="C611" s="3">
        <v>1061714.61269584</v>
      </c>
      <c r="D611" s="3">
        <v>472343.4</v>
      </c>
      <c r="E611" s="3">
        <v>463795.58490850701</v>
      </c>
      <c r="F611" s="3">
        <v>1795862.3352920101</v>
      </c>
      <c r="G611" s="1">
        <v>44681</v>
      </c>
      <c r="H611" s="2">
        <v>45413</v>
      </c>
    </row>
    <row r="612" spans="1:8" hidden="1" x14ac:dyDescent="0.45">
      <c r="A612">
        <v>610</v>
      </c>
      <c r="B612" t="s">
        <v>8</v>
      </c>
      <c r="C612" s="3">
        <v>2083817.38662341</v>
      </c>
      <c r="D612" s="3">
        <v>504356.81999999902</v>
      </c>
      <c r="E612" s="3">
        <v>1123508.5149403899</v>
      </c>
      <c r="F612" s="3">
        <v>3099371.8972100001</v>
      </c>
      <c r="G612" s="1">
        <v>44681</v>
      </c>
      <c r="H612" s="2">
        <v>45444</v>
      </c>
    </row>
    <row r="613" spans="1:8" hidden="1" x14ac:dyDescent="0.45">
      <c r="A613">
        <v>611</v>
      </c>
      <c r="B613" t="s">
        <v>8</v>
      </c>
      <c r="C613" s="3">
        <v>2474851.7247748398</v>
      </c>
      <c r="D613" s="3">
        <v>549115.07999999996</v>
      </c>
      <c r="E613" s="3">
        <v>1493934.73614101</v>
      </c>
      <c r="F613" s="3">
        <v>3486694.8973951</v>
      </c>
      <c r="G613" s="1">
        <v>44681</v>
      </c>
      <c r="H613" s="2">
        <v>45474</v>
      </c>
    </row>
    <row r="614" spans="1:8" hidden="1" x14ac:dyDescent="0.45">
      <c r="A614">
        <v>612</v>
      </c>
      <c r="B614" t="s">
        <v>8</v>
      </c>
      <c r="C614" s="3">
        <v>1083319.75148943</v>
      </c>
      <c r="D614" s="3">
        <v>507950.62</v>
      </c>
      <c r="E614" s="3">
        <v>555877.20296920405</v>
      </c>
      <c r="F614" s="3">
        <v>1699568.2293825401</v>
      </c>
      <c r="G614" s="1">
        <v>44681</v>
      </c>
      <c r="H614" s="2">
        <v>45505</v>
      </c>
    </row>
    <row r="615" spans="1:8" hidden="1" x14ac:dyDescent="0.45">
      <c r="A615">
        <v>613</v>
      </c>
      <c r="B615" t="s">
        <v>8</v>
      </c>
      <c r="C615" s="3">
        <v>1526560.45649714</v>
      </c>
      <c r="D615" s="3">
        <v>940102.8</v>
      </c>
      <c r="E615" s="3">
        <v>863985.70529925905</v>
      </c>
      <c r="F615" s="3">
        <v>2235008.0024919598</v>
      </c>
      <c r="G615" s="1">
        <v>44681</v>
      </c>
      <c r="H615" s="2">
        <v>45536</v>
      </c>
    </row>
    <row r="616" spans="1:8" hidden="1" x14ac:dyDescent="0.45">
      <c r="A616">
        <v>614</v>
      </c>
      <c r="B616" t="s">
        <v>8</v>
      </c>
      <c r="C616" s="3">
        <v>876907.47212350601</v>
      </c>
      <c r="D616" s="3">
        <v>383634.47</v>
      </c>
      <c r="E616" s="3">
        <v>438235.01757324301</v>
      </c>
      <c r="F616" s="3">
        <v>1350875.8249548899</v>
      </c>
      <c r="G616" s="1">
        <v>44681</v>
      </c>
      <c r="H616" s="2">
        <v>45566</v>
      </c>
    </row>
    <row r="617" spans="1:8" hidden="1" x14ac:dyDescent="0.45">
      <c r="A617">
        <v>615</v>
      </c>
      <c r="B617" t="s">
        <v>8</v>
      </c>
      <c r="C617" s="3">
        <v>2181797.7552239099</v>
      </c>
      <c r="D617" s="3"/>
      <c r="E617" s="3">
        <v>1469982.72897791</v>
      </c>
      <c r="F617" s="3">
        <v>2940941.80890177</v>
      </c>
      <c r="G617" s="1">
        <v>44681</v>
      </c>
      <c r="H617" s="2">
        <v>45597</v>
      </c>
    </row>
    <row r="618" spans="1:8" hidden="1" x14ac:dyDescent="0.45">
      <c r="A618">
        <v>616</v>
      </c>
      <c r="B618" t="s">
        <v>8</v>
      </c>
      <c r="C618" s="3">
        <v>364291.957182671</v>
      </c>
      <c r="D618" s="3"/>
      <c r="E618" s="3">
        <v>156093.355161165</v>
      </c>
      <c r="F618" s="3">
        <v>587380.03614688094</v>
      </c>
      <c r="G618" s="1">
        <v>44681</v>
      </c>
      <c r="H618" s="2">
        <v>45627</v>
      </c>
    </row>
    <row r="619" spans="1:8" hidden="1" x14ac:dyDescent="0.45">
      <c r="A619">
        <v>617</v>
      </c>
      <c r="B619" t="s">
        <v>8</v>
      </c>
      <c r="C619" s="3">
        <v>865179.867529599</v>
      </c>
      <c r="D619" s="3"/>
      <c r="E619" s="3">
        <v>499727.65132747998</v>
      </c>
      <c r="F619" s="3">
        <v>1267988.6636054199</v>
      </c>
      <c r="G619" s="1">
        <v>44681</v>
      </c>
      <c r="H619" s="2">
        <v>45658</v>
      </c>
    </row>
    <row r="620" spans="1:8" hidden="1" x14ac:dyDescent="0.45">
      <c r="A620">
        <v>618</v>
      </c>
      <c r="B620" t="s">
        <v>8</v>
      </c>
      <c r="C620" s="3">
        <v>644616.01687287597</v>
      </c>
      <c r="D620" s="3"/>
      <c r="E620" s="3">
        <v>363060.936206882</v>
      </c>
      <c r="F620" s="3">
        <v>957445.27216092299</v>
      </c>
      <c r="G620" s="1">
        <v>44681</v>
      </c>
      <c r="H620" s="2">
        <v>45689</v>
      </c>
    </row>
    <row r="621" spans="1:8" hidden="1" x14ac:dyDescent="0.45">
      <c r="A621">
        <v>619</v>
      </c>
      <c r="B621" t="s">
        <v>8</v>
      </c>
      <c r="C621" s="3">
        <v>1518827.1432816801</v>
      </c>
      <c r="D621" s="3"/>
      <c r="E621" s="3">
        <v>1012498.29825755</v>
      </c>
      <c r="F621" s="3">
        <v>2048578.7713731499</v>
      </c>
      <c r="G621" s="1">
        <v>44681</v>
      </c>
      <c r="H621" s="2">
        <v>45717</v>
      </c>
    </row>
    <row r="622" spans="1:8" hidden="1" x14ac:dyDescent="0.45">
      <c r="A622">
        <v>620</v>
      </c>
      <c r="B622" t="s">
        <v>8</v>
      </c>
      <c r="C622" s="3">
        <v>172222.752888038</v>
      </c>
      <c r="D622" s="3"/>
      <c r="E622" s="3">
        <v>80776.970090651594</v>
      </c>
      <c r="F622" s="3">
        <v>279697.285459737</v>
      </c>
      <c r="G622" s="1">
        <v>44681</v>
      </c>
      <c r="H622" s="2">
        <v>45748</v>
      </c>
    </row>
    <row r="623" spans="1:8" hidden="1" x14ac:dyDescent="0.45">
      <c r="A623">
        <v>621</v>
      </c>
      <c r="B623" t="s">
        <v>8</v>
      </c>
      <c r="C623" s="3">
        <v>810866.95070156595</v>
      </c>
      <c r="D623" s="3"/>
      <c r="E623" s="3">
        <v>340566.59702060302</v>
      </c>
      <c r="F623" s="3">
        <v>1363834.2006978199</v>
      </c>
      <c r="G623" s="1">
        <v>44681</v>
      </c>
      <c r="H623" s="2">
        <v>45778</v>
      </c>
    </row>
    <row r="624" spans="1:8" hidden="1" x14ac:dyDescent="0.45">
      <c r="A624">
        <v>622</v>
      </c>
      <c r="B624" t="s">
        <v>8</v>
      </c>
      <c r="C624" s="3">
        <v>1592881.6425586401</v>
      </c>
      <c r="D624" s="3"/>
      <c r="E624" s="3">
        <v>860107.56517235597</v>
      </c>
      <c r="F624" s="3">
        <v>2398839.3310538498</v>
      </c>
      <c r="G624" s="1">
        <v>44681</v>
      </c>
      <c r="H624" s="2">
        <v>45809</v>
      </c>
    </row>
    <row r="625" spans="1:8" hidden="1" x14ac:dyDescent="0.45">
      <c r="A625">
        <v>623</v>
      </c>
      <c r="B625" t="s">
        <v>8</v>
      </c>
      <c r="C625" s="3">
        <v>1891128.84981133</v>
      </c>
      <c r="D625" s="3"/>
      <c r="E625" s="3">
        <v>1132274.3113162799</v>
      </c>
      <c r="F625" s="3">
        <v>2701917.5240054699</v>
      </c>
      <c r="G625" s="1">
        <v>44681</v>
      </c>
      <c r="H625" s="2">
        <v>45839</v>
      </c>
    </row>
    <row r="626" spans="1:8" hidden="1" x14ac:dyDescent="0.45">
      <c r="A626">
        <v>624</v>
      </c>
      <c r="B626" t="s">
        <v>8</v>
      </c>
      <c r="C626" s="3">
        <v>829749.08220026304</v>
      </c>
      <c r="D626" s="3"/>
      <c r="E626" s="3">
        <v>419699.74268040201</v>
      </c>
      <c r="F626" s="3">
        <v>1306096.9485861401</v>
      </c>
      <c r="G626" s="1">
        <v>44681</v>
      </c>
      <c r="H626" s="2">
        <v>45870</v>
      </c>
    </row>
    <row r="627" spans="1:8" hidden="1" x14ac:dyDescent="0.45">
      <c r="A627">
        <v>625</v>
      </c>
      <c r="B627" t="s">
        <v>8</v>
      </c>
      <c r="C627" s="3">
        <v>1170403.42173291</v>
      </c>
      <c r="D627" s="3"/>
      <c r="E627" s="3">
        <v>652833.85957743903</v>
      </c>
      <c r="F627" s="3">
        <v>1728179.2262085399</v>
      </c>
      <c r="G627" s="1">
        <v>44681</v>
      </c>
      <c r="H627" s="2">
        <v>45901</v>
      </c>
    </row>
    <row r="628" spans="1:8" hidden="1" x14ac:dyDescent="0.45">
      <c r="A628">
        <v>626</v>
      </c>
      <c r="B628" t="s">
        <v>8</v>
      </c>
      <c r="C628" s="3">
        <v>671351.31266702898</v>
      </c>
      <c r="D628" s="3"/>
      <c r="E628" s="3">
        <v>332323.74342829001</v>
      </c>
      <c r="F628" s="3">
        <v>1039418.14343026</v>
      </c>
      <c r="G628" s="1">
        <v>44681</v>
      </c>
      <c r="H628" s="2">
        <v>45931</v>
      </c>
    </row>
    <row r="629" spans="1:8" hidden="1" x14ac:dyDescent="0.45">
      <c r="A629">
        <v>627</v>
      </c>
      <c r="B629" t="s">
        <v>7</v>
      </c>
      <c r="C629" s="3">
        <v>111337.067495658</v>
      </c>
      <c r="D629" s="3">
        <v>28250.62</v>
      </c>
      <c r="E629" s="3">
        <v>56443.208939343203</v>
      </c>
      <c r="F629" s="3">
        <v>167492.991028788</v>
      </c>
      <c r="G629" s="1">
        <v>44712</v>
      </c>
      <c r="H629" s="2">
        <v>44228</v>
      </c>
    </row>
    <row r="630" spans="1:8" hidden="1" x14ac:dyDescent="0.45">
      <c r="A630">
        <v>628</v>
      </c>
      <c r="B630" t="s">
        <v>7</v>
      </c>
      <c r="C630" s="3">
        <v>272205.00611138198</v>
      </c>
      <c r="D630" s="3">
        <v>36247.919999999998</v>
      </c>
      <c r="E630" s="3">
        <v>159812.91939711801</v>
      </c>
      <c r="F630" s="3">
        <v>384597.70931521902</v>
      </c>
      <c r="G630" s="1">
        <v>44712</v>
      </c>
      <c r="H630" s="2">
        <v>44256</v>
      </c>
    </row>
    <row r="631" spans="1:8" hidden="1" x14ac:dyDescent="0.45">
      <c r="A631">
        <v>629</v>
      </c>
      <c r="B631" t="s">
        <v>7</v>
      </c>
      <c r="C631" s="3">
        <v>56435.088310415798</v>
      </c>
      <c r="D631" s="3">
        <v>14721.48</v>
      </c>
      <c r="E631" s="3">
        <v>18751.086295532201</v>
      </c>
      <c r="F631" s="3">
        <v>98171.023126623506</v>
      </c>
      <c r="G631" s="1">
        <v>44712</v>
      </c>
      <c r="H631" s="2">
        <v>44287</v>
      </c>
    </row>
    <row r="632" spans="1:8" hidden="1" x14ac:dyDescent="0.45">
      <c r="A632">
        <v>630</v>
      </c>
      <c r="B632" t="s">
        <v>7</v>
      </c>
      <c r="C632" s="3">
        <v>134824.058520986</v>
      </c>
      <c r="D632" s="3">
        <v>94346.71</v>
      </c>
      <c r="E632" s="3">
        <v>58559.356580619999</v>
      </c>
      <c r="F632" s="3">
        <v>215836.38440640501</v>
      </c>
      <c r="G632" s="1">
        <v>44712</v>
      </c>
      <c r="H632" s="2">
        <v>44317</v>
      </c>
    </row>
    <row r="633" spans="1:8" hidden="1" x14ac:dyDescent="0.45">
      <c r="A633">
        <v>631</v>
      </c>
      <c r="B633" t="s">
        <v>7</v>
      </c>
      <c r="C633" s="3">
        <v>697629.09598312096</v>
      </c>
      <c r="D633" s="3">
        <v>970740.72</v>
      </c>
      <c r="E633" s="3">
        <v>426286.44254320202</v>
      </c>
      <c r="F633" s="3">
        <v>1002060.64627441</v>
      </c>
      <c r="G633" s="1">
        <v>44712</v>
      </c>
      <c r="H633" s="2">
        <v>44348</v>
      </c>
    </row>
    <row r="634" spans="1:8" hidden="1" x14ac:dyDescent="0.45">
      <c r="A634">
        <v>632</v>
      </c>
      <c r="B634" t="s">
        <v>7</v>
      </c>
      <c r="C634" s="3">
        <v>1618258.3751634301</v>
      </c>
      <c r="D634" s="3">
        <v>1798271.24</v>
      </c>
      <c r="E634" s="3">
        <v>1149276.36311152</v>
      </c>
      <c r="F634" s="3">
        <v>2063455.1170953501</v>
      </c>
      <c r="G634" s="1">
        <v>44712</v>
      </c>
      <c r="H634" s="2">
        <v>44378</v>
      </c>
    </row>
    <row r="635" spans="1:8" hidden="1" x14ac:dyDescent="0.45">
      <c r="A635">
        <v>633</v>
      </c>
      <c r="B635" t="s">
        <v>7</v>
      </c>
      <c r="C635" s="3">
        <v>891001.14084601495</v>
      </c>
      <c r="D635" s="3">
        <v>700449.31</v>
      </c>
      <c r="E635" s="3">
        <v>520110.55423741398</v>
      </c>
      <c r="F635" s="3">
        <v>1291412.76663416</v>
      </c>
      <c r="G635" s="1">
        <v>44712</v>
      </c>
      <c r="H635" s="2">
        <v>44409</v>
      </c>
    </row>
    <row r="636" spans="1:8" hidden="1" x14ac:dyDescent="0.45">
      <c r="A636">
        <v>634</v>
      </c>
      <c r="B636" t="s">
        <v>7</v>
      </c>
      <c r="C636" s="3">
        <v>1425297.5189501599</v>
      </c>
      <c r="D636" s="3">
        <v>1784906.52</v>
      </c>
      <c r="E636" s="3">
        <v>933666.00938950502</v>
      </c>
      <c r="F636" s="3">
        <v>1947403.5220879901</v>
      </c>
      <c r="G636" s="1">
        <v>44712</v>
      </c>
      <c r="H636" s="2">
        <v>44440</v>
      </c>
    </row>
    <row r="637" spans="1:8" hidden="1" x14ac:dyDescent="0.45">
      <c r="A637">
        <v>635</v>
      </c>
      <c r="B637" t="s">
        <v>7</v>
      </c>
      <c r="C637" s="3">
        <v>899374.08879950899</v>
      </c>
      <c r="D637" s="3">
        <v>706422.77</v>
      </c>
      <c r="E637" s="3">
        <v>525718.24286182795</v>
      </c>
      <c r="F637" s="3">
        <v>1297289.7222116101</v>
      </c>
      <c r="G637" s="1">
        <v>44712</v>
      </c>
      <c r="H637" s="2">
        <v>44470</v>
      </c>
    </row>
    <row r="638" spans="1:8" hidden="1" x14ac:dyDescent="0.45">
      <c r="A638">
        <v>636</v>
      </c>
      <c r="B638" t="s">
        <v>7</v>
      </c>
      <c r="C638" s="3">
        <v>2642019.5150210401</v>
      </c>
      <c r="D638" s="3">
        <v>3115611.92</v>
      </c>
      <c r="E638" s="3">
        <v>1970224.62974498</v>
      </c>
      <c r="F638" s="3">
        <v>3314174.3470059698</v>
      </c>
      <c r="G638" s="1">
        <v>44712</v>
      </c>
      <c r="H638" s="2">
        <v>44501</v>
      </c>
    </row>
    <row r="639" spans="1:8" hidden="1" x14ac:dyDescent="0.45">
      <c r="A639">
        <v>637</v>
      </c>
      <c r="B639" t="s">
        <v>7</v>
      </c>
      <c r="C639" s="3">
        <v>544638.46501468797</v>
      </c>
      <c r="D639" s="3">
        <v>227049.91</v>
      </c>
      <c r="E639" s="3">
        <v>272767.23700249498</v>
      </c>
      <c r="F639" s="3">
        <v>853366.97864291898</v>
      </c>
      <c r="G639" s="1">
        <v>44712</v>
      </c>
      <c r="H639" s="2">
        <v>44531</v>
      </c>
    </row>
    <row r="640" spans="1:8" hidden="1" x14ac:dyDescent="0.45">
      <c r="A640">
        <v>638</v>
      </c>
      <c r="B640" t="s">
        <v>7</v>
      </c>
      <c r="C640" s="3">
        <v>1286622.15627107</v>
      </c>
      <c r="D640" s="3">
        <v>1231496.1499999999</v>
      </c>
      <c r="E640" s="3">
        <v>822823.12615656201</v>
      </c>
      <c r="F640" s="3">
        <v>1813817.8786321301</v>
      </c>
      <c r="G640" s="1">
        <v>44712</v>
      </c>
      <c r="H640" s="2">
        <v>44562</v>
      </c>
    </row>
    <row r="641" spans="1:8" hidden="1" x14ac:dyDescent="0.45">
      <c r="A641">
        <v>639</v>
      </c>
      <c r="B641" t="s">
        <v>7</v>
      </c>
      <c r="C641" s="3">
        <v>1042349.4640321099</v>
      </c>
      <c r="D641" s="3">
        <v>1031231.86</v>
      </c>
      <c r="E641" s="3">
        <v>647000.92722403898</v>
      </c>
      <c r="F641" s="3">
        <v>1498381.5258467901</v>
      </c>
      <c r="G641" s="1">
        <v>44712</v>
      </c>
      <c r="H641" s="2">
        <v>44593</v>
      </c>
    </row>
    <row r="642" spans="1:8" hidden="1" x14ac:dyDescent="0.45">
      <c r="A642">
        <v>640</v>
      </c>
      <c r="B642" t="s">
        <v>7</v>
      </c>
      <c r="C642" s="3">
        <v>2594395.7107429099</v>
      </c>
      <c r="D642" s="3">
        <v>2866780.02</v>
      </c>
      <c r="E642" s="3">
        <v>1870663.61253053</v>
      </c>
      <c r="F642" s="3">
        <v>3344779.3182206</v>
      </c>
      <c r="G642" s="1">
        <v>44712</v>
      </c>
      <c r="H642" s="2">
        <v>44621</v>
      </c>
    </row>
    <row r="643" spans="1:8" hidden="1" x14ac:dyDescent="0.45">
      <c r="A643">
        <v>641</v>
      </c>
      <c r="B643" t="s">
        <v>7</v>
      </c>
      <c r="C643" s="3">
        <v>366600.29031885398</v>
      </c>
      <c r="D643" s="3">
        <v>106305.83</v>
      </c>
      <c r="E643" s="3">
        <v>160462.95018583001</v>
      </c>
      <c r="F643" s="3">
        <v>598129.37479270797</v>
      </c>
      <c r="G643" s="1">
        <v>44712</v>
      </c>
      <c r="H643" s="2">
        <v>44652</v>
      </c>
    </row>
    <row r="644" spans="1:8" hidden="1" x14ac:dyDescent="0.45">
      <c r="A644">
        <v>642</v>
      </c>
      <c r="B644" t="s">
        <v>7</v>
      </c>
      <c r="C644" s="3">
        <v>748638.77067941695</v>
      </c>
      <c r="D644" s="3">
        <v>667164.73</v>
      </c>
      <c r="E644" s="3">
        <v>405431.458700296</v>
      </c>
      <c r="F644" s="3">
        <v>1117760.3635927199</v>
      </c>
      <c r="G644" s="1">
        <v>44712</v>
      </c>
      <c r="H644" s="2">
        <v>44682</v>
      </c>
    </row>
    <row r="645" spans="1:8" hidden="1" x14ac:dyDescent="0.45">
      <c r="A645">
        <v>643</v>
      </c>
      <c r="B645" t="s">
        <v>8</v>
      </c>
      <c r="C645" s="3">
        <v>2815659.0484112902</v>
      </c>
      <c r="D645" s="3">
        <v>1350310.76</v>
      </c>
      <c r="E645" s="3">
        <v>1315688.3931908801</v>
      </c>
      <c r="F645" s="3">
        <v>4476318.1021342603</v>
      </c>
      <c r="G645" s="1">
        <v>44712</v>
      </c>
      <c r="H645" s="2">
        <v>44713</v>
      </c>
    </row>
    <row r="646" spans="1:8" hidden="1" x14ac:dyDescent="0.45">
      <c r="A646">
        <v>644</v>
      </c>
      <c r="B646" t="s">
        <v>8</v>
      </c>
      <c r="C646" s="3">
        <v>3458681.2949835099</v>
      </c>
      <c r="D646" s="3">
        <v>854157.54</v>
      </c>
      <c r="E646" s="3">
        <v>1867649.2031686101</v>
      </c>
      <c r="F646" s="3">
        <v>5173196.7330292901</v>
      </c>
      <c r="G646" s="1">
        <v>44712</v>
      </c>
      <c r="H646" s="2">
        <v>44743</v>
      </c>
    </row>
    <row r="647" spans="1:8" hidden="1" x14ac:dyDescent="0.45">
      <c r="A647">
        <v>645</v>
      </c>
      <c r="B647" t="s">
        <v>8</v>
      </c>
      <c r="C647" s="3">
        <v>1555724.30965758</v>
      </c>
      <c r="D647" s="3">
        <v>1221310.8999999999</v>
      </c>
      <c r="E647" s="3">
        <v>666016.44605363195</v>
      </c>
      <c r="F647" s="3">
        <v>2565345.71238425</v>
      </c>
      <c r="G647" s="1">
        <v>44712</v>
      </c>
      <c r="H647" s="2">
        <v>44774</v>
      </c>
    </row>
    <row r="648" spans="1:8" hidden="1" x14ac:dyDescent="0.45">
      <c r="A648">
        <v>646</v>
      </c>
      <c r="B648" t="s">
        <v>8</v>
      </c>
      <c r="C648" s="3">
        <v>2230058.9430016102</v>
      </c>
      <c r="D648" s="3">
        <v>855583.47</v>
      </c>
      <c r="E648" s="3">
        <v>1099032.0899487799</v>
      </c>
      <c r="F648" s="3">
        <v>3453356.6666263901</v>
      </c>
      <c r="G648" s="1">
        <v>44712</v>
      </c>
      <c r="H648" s="2">
        <v>44805</v>
      </c>
    </row>
    <row r="649" spans="1:8" hidden="1" x14ac:dyDescent="0.45">
      <c r="A649">
        <v>647</v>
      </c>
      <c r="B649" t="s">
        <v>8</v>
      </c>
      <c r="C649" s="3">
        <v>1274850.7412043</v>
      </c>
      <c r="D649" s="3">
        <v>827630.45</v>
      </c>
      <c r="E649" s="3">
        <v>585918.440366884</v>
      </c>
      <c r="F649" s="3">
        <v>2046065.4764591299</v>
      </c>
      <c r="G649" s="1">
        <v>44712</v>
      </c>
      <c r="H649" s="2">
        <v>44835</v>
      </c>
    </row>
    <row r="650" spans="1:8" hidden="1" x14ac:dyDescent="0.45">
      <c r="A650">
        <v>648</v>
      </c>
      <c r="B650" t="s">
        <v>8</v>
      </c>
      <c r="C650" s="3">
        <v>3488691.08842168</v>
      </c>
      <c r="D650" s="3">
        <v>1690761.51</v>
      </c>
      <c r="E650" s="3">
        <v>2093039.2450081501</v>
      </c>
      <c r="F650" s="3">
        <v>4922705.58301247</v>
      </c>
      <c r="G650" s="1">
        <v>44712</v>
      </c>
      <c r="H650" s="2">
        <v>44866</v>
      </c>
    </row>
    <row r="651" spans="1:8" hidden="1" x14ac:dyDescent="0.45">
      <c r="A651">
        <v>649</v>
      </c>
      <c r="B651" t="s">
        <v>8</v>
      </c>
      <c r="C651" s="3">
        <v>570642.29735491797</v>
      </c>
      <c r="D651" s="3">
        <v>292171.68</v>
      </c>
      <c r="E651" s="3">
        <v>228764.07919406201</v>
      </c>
      <c r="F651" s="3">
        <v>990457.68035165104</v>
      </c>
      <c r="G651" s="1">
        <v>44712</v>
      </c>
      <c r="H651" s="2">
        <v>44896</v>
      </c>
    </row>
    <row r="652" spans="1:8" hidden="1" x14ac:dyDescent="0.45">
      <c r="A652">
        <v>650</v>
      </c>
      <c r="B652" t="s">
        <v>8</v>
      </c>
      <c r="C652" s="3">
        <v>1357748.04520709</v>
      </c>
      <c r="D652" s="3">
        <v>892563.15</v>
      </c>
      <c r="E652" s="3">
        <v>704164.33625267597</v>
      </c>
      <c r="F652" s="3">
        <v>2076770.9197766399</v>
      </c>
      <c r="G652" s="1">
        <v>44712</v>
      </c>
      <c r="H652" s="2">
        <v>44927</v>
      </c>
    </row>
    <row r="653" spans="1:8" hidden="1" x14ac:dyDescent="0.45">
      <c r="A653">
        <v>651</v>
      </c>
      <c r="B653" t="s">
        <v>8</v>
      </c>
      <c r="C653" s="3">
        <v>1046142.46514004</v>
      </c>
      <c r="D653" s="3">
        <v>807714.07</v>
      </c>
      <c r="E653" s="3">
        <v>541225.77197067498</v>
      </c>
      <c r="F653" s="3">
        <v>1623814.3423832101</v>
      </c>
      <c r="G653" s="1">
        <v>44712</v>
      </c>
      <c r="H653" s="2">
        <v>44958</v>
      </c>
    </row>
    <row r="654" spans="1:8" hidden="1" x14ac:dyDescent="0.45">
      <c r="A654">
        <v>652</v>
      </c>
      <c r="B654" t="s">
        <v>8</v>
      </c>
      <c r="C654" s="3">
        <v>2536570.0678741001</v>
      </c>
      <c r="D654" s="3">
        <v>488559.28</v>
      </c>
      <c r="E654" s="3">
        <v>1574469.05987752</v>
      </c>
      <c r="F654" s="3">
        <v>3596975.2851849799</v>
      </c>
      <c r="G654" s="1">
        <v>44712</v>
      </c>
      <c r="H654" s="2">
        <v>44986</v>
      </c>
    </row>
    <row r="655" spans="1:8" hidden="1" x14ac:dyDescent="0.45">
      <c r="A655">
        <v>653</v>
      </c>
      <c r="B655" t="s">
        <v>8</v>
      </c>
      <c r="C655" s="3">
        <v>290369.83529035503</v>
      </c>
      <c r="D655" s="3">
        <v>850704.32</v>
      </c>
      <c r="E655" s="3">
        <v>103557.33177105201</v>
      </c>
      <c r="F655" s="3">
        <v>500101.05479370098</v>
      </c>
      <c r="G655" s="1">
        <v>44712</v>
      </c>
      <c r="H655" s="2">
        <v>45017</v>
      </c>
    </row>
    <row r="656" spans="1:8" hidden="1" x14ac:dyDescent="0.45">
      <c r="A656">
        <v>654</v>
      </c>
      <c r="B656" t="s">
        <v>8</v>
      </c>
      <c r="C656" s="3">
        <v>597781.37388295995</v>
      </c>
      <c r="D656" s="3">
        <v>851367.679999999</v>
      </c>
      <c r="E656" s="3">
        <v>300938.68260819901</v>
      </c>
      <c r="F656" s="3">
        <v>948784.28445938195</v>
      </c>
      <c r="G656" s="1">
        <v>44712</v>
      </c>
      <c r="H656" s="2">
        <v>45047</v>
      </c>
    </row>
    <row r="657" spans="1:8" hidden="1" x14ac:dyDescent="0.45">
      <c r="A657">
        <v>655</v>
      </c>
      <c r="B657" t="s">
        <v>8</v>
      </c>
      <c r="C657" s="3">
        <v>2175415.1700559799</v>
      </c>
      <c r="D657" s="3">
        <v>734937.57</v>
      </c>
      <c r="E657" s="3">
        <v>934700.95871037105</v>
      </c>
      <c r="F657" s="3">
        <v>3576511.9788957899</v>
      </c>
      <c r="G657" s="1">
        <v>44712</v>
      </c>
      <c r="H657" s="2">
        <v>45078</v>
      </c>
    </row>
    <row r="658" spans="1:8" hidden="1" x14ac:dyDescent="0.45">
      <c r="A658">
        <v>656</v>
      </c>
      <c r="B658" t="s">
        <v>8</v>
      </c>
      <c r="C658" s="3">
        <v>2683906.6833592202</v>
      </c>
      <c r="D658" s="3">
        <v>761237.21</v>
      </c>
      <c r="E658" s="3">
        <v>1326767.1266411601</v>
      </c>
      <c r="F658" s="3">
        <v>4071952.97235802</v>
      </c>
      <c r="G658" s="1">
        <v>44712</v>
      </c>
      <c r="H658" s="2">
        <v>45108</v>
      </c>
    </row>
    <row r="659" spans="1:8" hidden="1" x14ac:dyDescent="0.45">
      <c r="A659">
        <v>657</v>
      </c>
      <c r="B659" t="s">
        <v>8</v>
      </c>
      <c r="C659" s="3">
        <v>1225625.62410166</v>
      </c>
      <c r="D659" s="3">
        <v>794906.27</v>
      </c>
      <c r="E659" s="3">
        <v>491531.08752049197</v>
      </c>
      <c r="F659" s="3">
        <v>2051838.0893901</v>
      </c>
      <c r="G659" s="1">
        <v>44712</v>
      </c>
      <c r="H659" s="2">
        <v>45139</v>
      </c>
    </row>
    <row r="660" spans="1:8" hidden="1" x14ac:dyDescent="0.45">
      <c r="A660">
        <v>658</v>
      </c>
      <c r="B660" t="s">
        <v>8</v>
      </c>
      <c r="C660" s="3">
        <v>1745229.5311843399</v>
      </c>
      <c r="D660" s="3">
        <v>843043.95</v>
      </c>
      <c r="E660" s="3">
        <v>823096.84071788995</v>
      </c>
      <c r="F660" s="3">
        <v>2799548.3760824599</v>
      </c>
      <c r="G660" s="1">
        <v>44712</v>
      </c>
      <c r="H660" s="2">
        <v>45170</v>
      </c>
    </row>
    <row r="661" spans="1:8" hidden="1" x14ac:dyDescent="0.45">
      <c r="A661">
        <v>659</v>
      </c>
      <c r="B661" t="s">
        <v>8</v>
      </c>
      <c r="C661" s="3">
        <v>1001059.07339445</v>
      </c>
      <c r="D661" s="3">
        <v>758206.87</v>
      </c>
      <c r="E661" s="3">
        <v>452776.72847114498</v>
      </c>
      <c r="F661" s="3">
        <v>1634399.11560208</v>
      </c>
      <c r="G661" s="1">
        <v>44712</v>
      </c>
      <c r="H661" s="2">
        <v>45200</v>
      </c>
    </row>
    <row r="662" spans="1:8" hidden="1" x14ac:dyDescent="0.45">
      <c r="A662">
        <v>660</v>
      </c>
      <c r="B662" t="s">
        <v>8</v>
      </c>
      <c r="C662" s="3">
        <v>2682482.9586181799</v>
      </c>
      <c r="D662" s="3">
        <v>1254291.42</v>
      </c>
      <c r="E662" s="3">
        <v>1612210.5111364201</v>
      </c>
      <c r="F662" s="3">
        <v>3827522.2260281998</v>
      </c>
      <c r="G662" s="1">
        <v>44712</v>
      </c>
      <c r="H662" s="2">
        <v>45231</v>
      </c>
    </row>
    <row r="663" spans="1:8" hidden="1" x14ac:dyDescent="0.45">
      <c r="A663">
        <v>661</v>
      </c>
      <c r="B663" t="s">
        <v>8</v>
      </c>
      <c r="C663" s="3">
        <v>446512.98551252403</v>
      </c>
      <c r="D663" s="3">
        <v>539374.76</v>
      </c>
      <c r="E663" s="3">
        <v>174466.825772788</v>
      </c>
      <c r="F663" s="3">
        <v>780173.56384928303</v>
      </c>
      <c r="G663" s="1">
        <v>44712</v>
      </c>
      <c r="H663" s="2">
        <v>45261</v>
      </c>
    </row>
    <row r="664" spans="1:8" hidden="1" x14ac:dyDescent="0.45">
      <c r="A664">
        <v>662</v>
      </c>
      <c r="B664" t="s">
        <v>8</v>
      </c>
      <c r="C664" s="3">
        <v>1055879.74848409</v>
      </c>
      <c r="D664" s="3">
        <v>861901.23</v>
      </c>
      <c r="E664" s="3">
        <v>552639.08965515404</v>
      </c>
      <c r="F664" s="3">
        <v>1623358.37388924</v>
      </c>
      <c r="G664" s="1">
        <v>44712</v>
      </c>
      <c r="H664" s="2">
        <v>45292</v>
      </c>
    </row>
    <row r="665" spans="1:8" hidden="1" x14ac:dyDescent="0.45">
      <c r="A665">
        <v>663</v>
      </c>
      <c r="B665" t="s">
        <v>8</v>
      </c>
      <c r="C665" s="3">
        <v>811826.85332838097</v>
      </c>
      <c r="D665" s="3">
        <v>569862.32999999996</v>
      </c>
      <c r="E665" s="3">
        <v>416397.20070344303</v>
      </c>
      <c r="F665" s="3">
        <v>1258702.75539493</v>
      </c>
      <c r="G665" s="1">
        <v>44712</v>
      </c>
      <c r="H665" s="2">
        <v>45323</v>
      </c>
    </row>
    <row r="666" spans="1:8" hidden="1" x14ac:dyDescent="0.45">
      <c r="A666">
        <v>664</v>
      </c>
      <c r="B666" t="s">
        <v>8</v>
      </c>
      <c r="C666" s="3">
        <v>1951578.54391201</v>
      </c>
      <c r="D666" s="3">
        <v>566039.63</v>
      </c>
      <c r="E666" s="3">
        <v>1168800.62635094</v>
      </c>
      <c r="F666" s="3">
        <v>2741937.44878416</v>
      </c>
      <c r="G666" s="1">
        <v>44712</v>
      </c>
      <c r="H666" s="2">
        <v>45352</v>
      </c>
    </row>
    <row r="667" spans="1:8" hidden="1" x14ac:dyDescent="0.45">
      <c r="A667">
        <v>665</v>
      </c>
      <c r="B667" t="s">
        <v>8</v>
      </c>
      <c r="C667" s="3">
        <v>225942.62097898801</v>
      </c>
      <c r="D667" s="3">
        <v>885460.33</v>
      </c>
      <c r="E667" s="3">
        <v>77706.859687560704</v>
      </c>
      <c r="F667" s="3">
        <v>392743.91390434001</v>
      </c>
      <c r="G667" s="1">
        <v>44712</v>
      </c>
      <c r="H667" s="2">
        <v>45383</v>
      </c>
    </row>
    <row r="668" spans="1:8" hidden="1" x14ac:dyDescent="0.45">
      <c r="A668">
        <v>666</v>
      </c>
      <c r="B668" t="s">
        <v>8</v>
      </c>
      <c r="C668" s="3">
        <v>464582.04329677799</v>
      </c>
      <c r="D668" s="3">
        <v>473649.54</v>
      </c>
      <c r="E668" s="3">
        <v>229828.232086665</v>
      </c>
      <c r="F668" s="3">
        <v>739186.58744598296</v>
      </c>
      <c r="G668" s="1">
        <v>44712</v>
      </c>
      <c r="H668" s="2">
        <v>45413</v>
      </c>
    </row>
    <row r="669" spans="1:8" hidden="1" x14ac:dyDescent="0.45">
      <c r="A669">
        <v>667</v>
      </c>
      <c r="B669" t="s">
        <v>8</v>
      </c>
      <c r="C669" s="3">
        <v>1679499.6659035599</v>
      </c>
      <c r="D669" s="3">
        <v>505339.09</v>
      </c>
      <c r="E669" s="3">
        <v>726671.20992470195</v>
      </c>
      <c r="F669" s="3">
        <v>2748613.5397173702</v>
      </c>
      <c r="G669" s="1">
        <v>44712</v>
      </c>
      <c r="H669" s="2">
        <v>45444</v>
      </c>
    </row>
    <row r="670" spans="1:8" hidden="1" x14ac:dyDescent="0.45">
      <c r="A670">
        <v>668</v>
      </c>
      <c r="B670" t="s">
        <v>8</v>
      </c>
      <c r="C670" s="3">
        <v>2070615.34707169</v>
      </c>
      <c r="D670" s="3">
        <v>551952.44999999995</v>
      </c>
      <c r="E670" s="3">
        <v>1014966.47455619</v>
      </c>
      <c r="F670" s="3">
        <v>3142200.5699778502</v>
      </c>
      <c r="G670" s="1">
        <v>44712</v>
      </c>
      <c r="H670" s="2">
        <v>45474</v>
      </c>
    </row>
    <row r="671" spans="1:8" hidden="1" x14ac:dyDescent="0.45">
      <c r="A671">
        <v>669</v>
      </c>
      <c r="B671" t="s">
        <v>8</v>
      </c>
      <c r="C671" s="3">
        <v>947314.508363995</v>
      </c>
      <c r="D671" s="3">
        <v>509876.33</v>
      </c>
      <c r="E671" s="3">
        <v>385152.95393715298</v>
      </c>
      <c r="F671" s="3">
        <v>1587605.18073683</v>
      </c>
      <c r="G671" s="1">
        <v>44712</v>
      </c>
      <c r="H671" s="2">
        <v>45505</v>
      </c>
    </row>
    <row r="672" spans="1:8" hidden="1" x14ac:dyDescent="0.45">
      <c r="A672">
        <v>670</v>
      </c>
      <c r="B672" t="s">
        <v>8</v>
      </c>
      <c r="C672" s="3">
        <v>1350653.3491947099</v>
      </c>
      <c r="D672" s="3">
        <v>944061.57</v>
      </c>
      <c r="E672" s="3">
        <v>636945.42538355698</v>
      </c>
      <c r="F672" s="3">
        <v>2167935.8892929</v>
      </c>
      <c r="G672" s="1">
        <v>44712</v>
      </c>
      <c r="H672" s="2">
        <v>45536</v>
      </c>
    </row>
    <row r="673" spans="1:8" hidden="1" x14ac:dyDescent="0.45">
      <c r="A673">
        <v>671</v>
      </c>
      <c r="B673" t="s">
        <v>8</v>
      </c>
      <c r="C673" s="3">
        <v>775921.08829310897</v>
      </c>
      <c r="D673" s="3">
        <v>384947.18</v>
      </c>
      <c r="E673" s="3">
        <v>350982.77239565097</v>
      </c>
      <c r="F673" s="3">
        <v>1271827.2611342</v>
      </c>
      <c r="G673" s="1">
        <v>44712</v>
      </c>
      <c r="H673" s="2">
        <v>45566</v>
      </c>
    </row>
    <row r="674" spans="1:8" hidden="1" x14ac:dyDescent="0.45">
      <c r="A674">
        <v>672</v>
      </c>
      <c r="B674" t="s">
        <v>8</v>
      </c>
      <c r="C674" s="3">
        <v>2073174.23586783</v>
      </c>
      <c r="D674" s="3"/>
      <c r="E674" s="3">
        <v>1230992.2021715101</v>
      </c>
      <c r="F674" s="3">
        <v>2950086.23950683</v>
      </c>
      <c r="G674" s="1">
        <v>44712</v>
      </c>
      <c r="H674" s="2">
        <v>45597</v>
      </c>
    </row>
    <row r="675" spans="1:8" hidden="1" x14ac:dyDescent="0.45">
      <c r="A675">
        <v>673</v>
      </c>
      <c r="B675" t="s">
        <v>8</v>
      </c>
      <c r="C675" s="3">
        <v>346453.31700673298</v>
      </c>
      <c r="D675" s="3"/>
      <c r="E675" s="3">
        <v>131662.51189788699</v>
      </c>
      <c r="F675" s="3">
        <v>606162.86544356996</v>
      </c>
      <c r="G675" s="1">
        <v>44712</v>
      </c>
      <c r="H675" s="2">
        <v>45627</v>
      </c>
    </row>
    <row r="676" spans="1:8" hidden="1" x14ac:dyDescent="0.45">
      <c r="A676">
        <v>674</v>
      </c>
      <c r="B676" t="s">
        <v>8</v>
      </c>
      <c r="C676" s="3">
        <v>821614.267887995</v>
      </c>
      <c r="D676" s="3"/>
      <c r="E676" s="3">
        <v>419615.96729003597</v>
      </c>
      <c r="F676" s="3">
        <v>1258339.7583582001</v>
      </c>
      <c r="G676" s="1">
        <v>44712</v>
      </c>
      <c r="H676" s="2">
        <v>45658</v>
      </c>
    </row>
    <row r="677" spans="1:8" hidden="1" x14ac:dyDescent="0.45">
      <c r="A677">
        <v>675</v>
      </c>
      <c r="B677" t="s">
        <v>8</v>
      </c>
      <c r="C677" s="3">
        <v>631566.44287393696</v>
      </c>
      <c r="D677" s="3"/>
      <c r="E677" s="3">
        <v>326911.685677781</v>
      </c>
      <c r="F677" s="3">
        <v>985482.59153341502</v>
      </c>
      <c r="G677" s="1">
        <v>44712</v>
      </c>
      <c r="H677" s="2">
        <v>45689</v>
      </c>
    </row>
    <row r="678" spans="1:8" hidden="1" x14ac:dyDescent="0.45">
      <c r="A678">
        <v>676</v>
      </c>
      <c r="B678" t="s">
        <v>8</v>
      </c>
      <c r="C678" s="3">
        <v>1506627.20654799</v>
      </c>
      <c r="D678" s="3"/>
      <c r="E678" s="3">
        <v>914242.53720118001</v>
      </c>
      <c r="F678" s="3">
        <v>2150534.1380260698</v>
      </c>
      <c r="G678" s="1">
        <v>44712</v>
      </c>
      <c r="H678" s="2">
        <v>45717</v>
      </c>
    </row>
    <row r="679" spans="1:8" hidden="1" x14ac:dyDescent="0.45">
      <c r="A679">
        <v>677</v>
      </c>
      <c r="B679" t="s">
        <v>8</v>
      </c>
      <c r="C679" s="3">
        <v>176633.88975639999</v>
      </c>
      <c r="D679" s="3"/>
      <c r="E679" s="3">
        <v>61815.052843462501</v>
      </c>
      <c r="F679" s="3">
        <v>308324.57364453003</v>
      </c>
      <c r="G679" s="1">
        <v>44712</v>
      </c>
      <c r="H679" s="2">
        <v>45748</v>
      </c>
    </row>
    <row r="680" spans="1:8" hidden="1" x14ac:dyDescent="0.45">
      <c r="A680">
        <v>678</v>
      </c>
      <c r="B680" t="s">
        <v>8</v>
      </c>
      <c r="C680" s="3">
        <v>363899.29938456498</v>
      </c>
      <c r="D680" s="3"/>
      <c r="E680" s="3">
        <v>177743.46188923201</v>
      </c>
      <c r="F680" s="3">
        <v>581098.98866809404</v>
      </c>
      <c r="G680" s="1">
        <v>44712</v>
      </c>
      <c r="H680" s="2">
        <v>45778</v>
      </c>
    </row>
    <row r="681" spans="1:8" hidden="1" x14ac:dyDescent="0.45">
      <c r="A681">
        <v>679</v>
      </c>
      <c r="B681" t="s">
        <v>8</v>
      </c>
      <c r="C681" s="3">
        <v>1308427.7386487401</v>
      </c>
      <c r="D681" s="3"/>
      <c r="E681" s="3">
        <v>567715.81442343805</v>
      </c>
      <c r="F681" s="3">
        <v>2150538.84428389</v>
      </c>
      <c r="G681" s="1">
        <v>44712</v>
      </c>
      <c r="H681" s="2">
        <v>45809</v>
      </c>
    </row>
    <row r="682" spans="1:8" hidden="1" x14ac:dyDescent="0.45">
      <c r="A682">
        <v>680</v>
      </c>
      <c r="B682" t="s">
        <v>8</v>
      </c>
      <c r="C682" s="3">
        <v>1612072.73421686</v>
      </c>
      <c r="D682" s="3"/>
      <c r="E682" s="3">
        <v>790933.54775891604</v>
      </c>
      <c r="F682" s="3">
        <v>2463141.8025267301</v>
      </c>
      <c r="G682" s="1">
        <v>44712</v>
      </c>
      <c r="H682" s="2">
        <v>45839</v>
      </c>
    </row>
    <row r="683" spans="1:8" hidden="1" x14ac:dyDescent="0.45">
      <c r="A683">
        <v>681</v>
      </c>
      <c r="B683" t="s">
        <v>8</v>
      </c>
      <c r="C683" s="3">
        <v>738272.66830618796</v>
      </c>
      <c r="D683" s="3"/>
      <c r="E683" s="3">
        <v>299610.67119189998</v>
      </c>
      <c r="F683" s="3">
        <v>1240228.27186298</v>
      </c>
      <c r="G683" s="1">
        <v>44712</v>
      </c>
      <c r="H683" s="2">
        <v>45870</v>
      </c>
    </row>
    <row r="684" spans="1:8" hidden="1" x14ac:dyDescent="0.45">
      <c r="A684">
        <v>682</v>
      </c>
      <c r="B684" t="s">
        <v>8</v>
      </c>
      <c r="C684" s="3">
        <v>1054636.5876781801</v>
      </c>
      <c r="D684" s="3"/>
      <c r="E684" s="3">
        <v>496300.20718573401</v>
      </c>
      <c r="F684" s="3">
        <v>1698255.3239360501</v>
      </c>
      <c r="G684" s="1">
        <v>44712</v>
      </c>
      <c r="H684" s="2">
        <v>45901</v>
      </c>
    </row>
    <row r="685" spans="1:8" hidden="1" x14ac:dyDescent="0.45">
      <c r="A685">
        <v>683</v>
      </c>
      <c r="B685" t="s">
        <v>8</v>
      </c>
      <c r="C685" s="3">
        <v>606766.121323211</v>
      </c>
      <c r="D685" s="3"/>
      <c r="E685" s="3">
        <v>269266.58768363798</v>
      </c>
      <c r="F685" s="3">
        <v>991794.09712424804</v>
      </c>
      <c r="G685" s="1">
        <v>44712</v>
      </c>
      <c r="H685" s="2">
        <v>45931</v>
      </c>
    </row>
    <row r="686" spans="1:8" hidden="1" x14ac:dyDescent="0.45">
      <c r="A686">
        <v>684</v>
      </c>
      <c r="B686" t="s">
        <v>7</v>
      </c>
      <c r="C686" s="3">
        <v>124248.247608627</v>
      </c>
      <c r="D686" s="3">
        <v>28250.62</v>
      </c>
      <c r="E686" s="3">
        <v>61495.470155223702</v>
      </c>
      <c r="F686" s="3">
        <v>185070.23798321999</v>
      </c>
      <c r="G686" s="1">
        <v>44742</v>
      </c>
      <c r="H686" s="2">
        <v>44228</v>
      </c>
    </row>
    <row r="687" spans="1:8" hidden="1" x14ac:dyDescent="0.45">
      <c r="A687">
        <v>685</v>
      </c>
      <c r="B687" t="s">
        <v>7</v>
      </c>
      <c r="C687" s="3">
        <v>301309.978853415</v>
      </c>
      <c r="D687" s="3">
        <v>36247.919999999998</v>
      </c>
      <c r="E687" s="3">
        <v>178214.51643011099</v>
      </c>
      <c r="F687" s="3">
        <v>425818.749665629</v>
      </c>
      <c r="G687" s="1">
        <v>44742</v>
      </c>
      <c r="H687" s="2">
        <v>44256</v>
      </c>
    </row>
    <row r="688" spans="1:8" hidden="1" x14ac:dyDescent="0.45">
      <c r="A688">
        <v>686</v>
      </c>
      <c r="B688" t="s">
        <v>7</v>
      </c>
      <c r="C688" s="3">
        <v>73748.535615375906</v>
      </c>
      <c r="D688" s="3">
        <v>14721.48</v>
      </c>
      <c r="E688" s="3">
        <v>29045.721065882601</v>
      </c>
      <c r="F688" s="3">
        <v>130242.38526192099</v>
      </c>
      <c r="G688" s="1">
        <v>44742</v>
      </c>
      <c r="H688" s="2">
        <v>44287</v>
      </c>
    </row>
    <row r="689" spans="1:8" hidden="1" x14ac:dyDescent="0.45">
      <c r="A689">
        <v>687</v>
      </c>
      <c r="B689" t="s">
        <v>7</v>
      </c>
      <c r="C689" s="3">
        <v>153382.485850809</v>
      </c>
      <c r="D689" s="3">
        <v>94346.71</v>
      </c>
      <c r="E689" s="3">
        <v>71357.253175002304</v>
      </c>
      <c r="F689" s="3">
        <v>242613.25220001201</v>
      </c>
      <c r="G689" s="1">
        <v>44742</v>
      </c>
      <c r="H689" s="2">
        <v>44317</v>
      </c>
    </row>
    <row r="690" spans="1:8" hidden="1" x14ac:dyDescent="0.45">
      <c r="A690">
        <v>688</v>
      </c>
      <c r="B690" t="s">
        <v>7</v>
      </c>
      <c r="C690" s="3">
        <v>492582.26773631101</v>
      </c>
      <c r="D690" s="3">
        <v>970740.72</v>
      </c>
      <c r="E690" s="3">
        <v>301840.14704667201</v>
      </c>
      <c r="F690" s="3">
        <v>686342.91598464898</v>
      </c>
      <c r="G690" s="1">
        <v>44742</v>
      </c>
      <c r="H690" s="2">
        <v>44348</v>
      </c>
    </row>
    <row r="691" spans="1:8" hidden="1" x14ac:dyDescent="0.45">
      <c r="A691">
        <v>689</v>
      </c>
      <c r="B691" t="s">
        <v>7</v>
      </c>
      <c r="C691" s="3">
        <v>1526421.3915435199</v>
      </c>
      <c r="D691" s="3">
        <v>1798271.24</v>
      </c>
      <c r="E691" s="3">
        <v>1072189.2883572199</v>
      </c>
      <c r="F691" s="3">
        <v>1991381.97182729</v>
      </c>
      <c r="G691" s="1">
        <v>44742</v>
      </c>
      <c r="H691" s="2">
        <v>44378</v>
      </c>
    </row>
    <row r="692" spans="1:8" hidden="1" x14ac:dyDescent="0.45">
      <c r="A692">
        <v>690</v>
      </c>
      <c r="B692" t="s">
        <v>7</v>
      </c>
      <c r="C692" s="3">
        <v>911186.34398914804</v>
      </c>
      <c r="D692" s="3">
        <v>700449.31</v>
      </c>
      <c r="E692" s="3">
        <v>519356.19120247202</v>
      </c>
      <c r="F692" s="3">
        <v>1322559.82043134</v>
      </c>
      <c r="G692" s="1">
        <v>44742</v>
      </c>
      <c r="H692" s="2">
        <v>44409</v>
      </c>
    </row>
    <row r="693" spans="1:8" hidden="1" x14ac:dyDescent="0.45">
      <c r="A693">
        <v>691</v>
      </c>
      <c r="B693" t="s">
        <v>7</v>
      </c>
      <c r="C693" s="3">
        <v>1378312.9294084001</v>
      </c>
      <c r="D693" s="3">
        <v>1784906.52</v>
      </c>
      <c r="E693" s="3">
        <v>890099.88342599897</v>
      </c>
      <c r="F693" s="3">
        <v>1879007.2314037899</v>
      </c>
      <c r="G693" s="1">
        <v>44742</v>
      </c>
      <c r="H693" s="2">
        <v>44440</v>
      </c>
    </row>
    <row r="694" spans="1:8" hidden="1" x14ac:dyDescent="0.45">
      <c r="A694">
        <v>692</v>
      </c>
      <c r="B694" t="s">
        <v>7</v>
      </c>
      <c r="C694" s="3">
        <v>909261.77883682004</v>
      </c>
      <c r="D694" s="3">
        <v>706422.77</v>
      </c>
      <c r="E694" s="3">
        <v>503277.56367111602</v>
      </c>
      <c r="F694" s="3">
        <v>1352460.2091985401</v>
      </c>
      <c r="G694" s="1">
        <v>44742</v>
      </c>
      <c r="H694" s="2">
        <v>44470</v>
      </c>
    </row>
    <row r="695" spans="1:8" hidden="1" x14ac:dyDescent="0.45">
      <c r="A695">
        <v>693</v>
      </c>
      <c r="B695" t="s">
        <v>7</v>
      </c>
      <c r="C695" s="3">
        <v>2619224.3931438001</v>
      </c>
      <c r="D695" s="3">
        <v>3115611.92</v>
      </c>
      <c r="E695" s="3">
        <v>1881548.1868177101</v>
      </c>
      <c r="F695" s="3">
        <v>3322799.6581651601</v>
      </c>
      <c r="G695" s="1">
        <v>44742</v>
      </c>
      <c r="H695" s="2">
        <v>44501</v>
      </c>
    </row>
    <row r="696" spans="1:8" hidden="1" x14ac:dyDescent="0.45">
      <c r="A696">
        <v>694</v>
      </c>
      <c r="B696" t="s">
        <v>7</v>
      </c>
      <c r="C696" s="3">
        <v>570534.35410094901</v>
      </c>
      <c r="D696" s="3">
        <v>227049.91</v>
      </c>
      <c r="E696" s="3">
        <v>293623.67755866097</v>
      </c>
      <c r="F696" s="3">
        <v>897339.34354880697</v>
      </c>
      <c r="G696" s="1">
        <v>44742</v>
      </c>
      <c r="H696" s="2">
        <v>44531</v>
      </c>
    </row>
    <row r="697" spans="1:8" hidden="1" x14ac:dyDescent="0.45">
      <c r="A697">
        <v>695</v>
      </c>
      <c r="B697" t="s">
        <v>7</v>
      </c>
      <c r="C697" s="3">
        <v>1302200.36456859</v>
      </c>
      <c r="D697" s="3">
        <v>1231496.1499999999</v>
      </c>
      <c r="E697" s="3">
        <v>799296.01846489205</v>
      </c>
      <c r="F697" s="3">
        <v>1834731.0947092299</v>
      </c>
      <c r="G697" s="1">
        <v>44742</v>
      </c>
      <c r="H697" s="2">
        <v>44562</v>
      </c>
    </row>
    <row r="698" spans="1:8" hidden="1" x14ac:dyDescent="0.45">
      <c r="A698">
        <v>696</v>
      </c>
      <c r="B698" t="s">
        <v>7</v>
      </c>
      <c r="C698" s="3">
        <v>1057312.1583517401</v>
      </c>
      <c r="D698" s="3">
        <v>1031231.86</v>
      </c>
      <c r="E698" s="3">
        <v>616826.31572513899</v>
      </c>
      <c r="F698" s="3">
        <v>1534296.04578037</v>
      </c>
      <c r="G698" s="1">
        <v>44742</v>
      </c>
      <c r="H698" s="2">
        <v>44593</v>
      </c>
    </row>
    <row r="699" spans="1:8" hidden="1" x14ac:dyDescent="0.45">
      <c r="A699">
        <v>697</v>
      </c>
      <c r="B699" t="s">
        <v>7</v>
      </c>
      <c r="C699" s="3">
        <v>2631640.4544970999</v>
      </c>
      <c r="D699" s="3">
        <v>2866780.02</v>
      </c>
      <c r="E699" s="3">
        <v>1869093.09026041</v>
      </c>
      <c r="F699" s="3">
        <v>3455520.28899313</v>
      </c>
      <c r="G699" s="1">
        <v>44742</v>
      </c>
      <c r="H699" s="2">
        <v>44621</v>
      </c>
    </row>
    <row r="700" spans="1:8" hidden="1" x14ac:dyDescent="0.45">
      <c r="A700">
        <v>698</v>
      </c>
      <c r="B700" t="s">
        <v>7</v>
      </c>
      <c r="C700" s="3">
        <v>415984.471133432</v>
      </c>
      <c r="D700" s="3">
        <v>106305.83</v>
      </c>
      <c r="E700" s="3">
        <v>177046.26024745</v>
      </c>
      <c r="F700" s="3">
        <v>694676.83372546604</v>
      </c>
      <c r="G700" s="1">
        <v>44742</v>
      </c>
      <c r="H700" s="2">
        <v>44652</v>
      </c>
    </row>
    <row r="701" spans="1:8" hidden="1" x14ac:dyDescent="0.45">
      <c r="A701">
        <v>699</v>
      </c>
      <c r="B701" t="s">
        <v>7</v>
      </c>
      <c r="C701" s="3">
        <v>789030.09340652998</v>
      </c>
      <c r="D701" s="3">
        <v>667164.73</v>
      </c>
      <c r="E701" s="3">
        <v>427686.28688292298</v>
      </c>
      <c r="F701" s="3">
        <v>1192293.35798372</v>
      </c>
      <c r="G701" s="1">
        <v>44742</v>
      </c>
      <c r="H701" s="2">
        <v>44682</v>
      </c>
    </row>
    <row r="702" spans="1:8" hidden="1" x14ac:dyDescent="0.45">
      <c r="A702">
        <v>700</v>
      </c>
      <c r="B702" t="s">
        <v>7</v>
      </c>
      <c r="C702" s="3">
        <v>1423988.5110059001</v>
      </c>
      <c r="D702" s="3">
        <v>1398761.09</v>
      </c>
      <c r="E702" s="3">
        <v>871163.439396456</v>
      </c>
      <c r="F702" s="3">
        <v>2023082.8903742</v>
      </c>
      <c r="G702" s="1">
        <v>44742</v>
      </c>
      <c r="H702" s="2">
        <v>44713</v>
      </c>
    </row>
    <row r="703" spans="1:8" hidden="1" x14ac:dyDescent="0.45">
      <c r="A703">
        <v>701</v>
      </c>
      <c r="B703" t="s">
        <v>8</v>
      </c>
      <c r="C703" s="3">
        <v>3026502.4558163998</v>
      </c>
      <c r="D703" s="3">
        <v>884226.03</v>
      </c>
      <c r="E703" s="3">
        <v>1619998.4698087601</v>
      </c>
      <c r="F703" s="3">
        <v>4539943.71358681</v>
      </c>
      <c r="G703" s="1">
        <v>44742</v>
      </c>
      <c r="H703" s="2">
        <v>44743</v>
      </c>
    </row>
    <row r="704" spans="1:8" hidden="1" x14ac:dyDescent="0.45">
      <c r="A704">
        <v>702</v>
      </c>
      <c r="B704" t="s">
        <v>8</v>
      </c>
      <c r="C704" s="3">
        <v>1401457.6906076099</v>
      </c>
      <c r="D704" s="3">
        <v>1249609.67</v>
      </c>
      <c r="E704" s="3">
        <v>604412.16797011404</v>
      </c>
      <c r="F704" s="3">
        <v>2273869.7019533501</v>
      </c>
      <c r="G704" s="1">
        <v>44742</v>
      </c>
      <c r="H704" s="2">
        <v>44774</v>
      </c>
    </row>
    <row r="705" spans="1:8" hidden="1" x14ac:dyDescent="0.45">
      <c r="A705">
        <v>703</v>
      </c>
      <c r="B705" t="s">
        <v>8</v>
      </c>
      <c r="C705" s="3">
        <v>1992374.8751747</v>
      </c>
      <c r="D705" s="3">
        <v>872401.299999999</v>
      </c>
      <c r="E705" s="3">
        <v>1006372.32778145</v>
      </c>
      <c r="F705" s="3">
        <v>3054021.40487801</v>
      </c>
      <c r="G705" s="1">
        <v>44742</v>
      </c>
      <c r="H705" s="2">
        <v>44805</v>
      </c>
    </row>
    <row r="706" spans="1:8" hidden="1" x14ac:dyDescent="0.45">
      <c r="A706">
        <v>704</v>
      </c>
      <c r="B706" t="s">
        <v>8</v>
      </c>
      <c r="C706" s="3">
        <v>1195102.3764172799</v>
      </c>
      <c r="D706" s="3">
        <v>848505.64999999898</v>
      </c>
      <c r="E706" s="3">
        <v>527862.34978830803</v>
      </c>
      <c r="F706" s="3">
        <v>1924985.34333927</v>
      </c>
      <c r="G706" s="1">
        <v>44742</v>
      </c>
      <c r="H706" s="2">
        <v>44835</v>
      </c>
    </row>
    <row r="707" spans="1:8" hidden="1" x14ac:dyDescent="0.45">
      <c r="A707">
        <v>705</v>
      </c>
      <c r="B707" t="s">
        <v>8</v>
      </c>
      <c r="C707" s="3">
        <v>3309573.2871771702</v>
      </c>
      <c r="D707" s="3">
        <v>1721817.19</v>
      </c>
      <c r="E707" s="3">
        <v>1927962.5238604799</v>
      </c>
      <c r="F707" s="3">
        <v>4735311.99861403</v>
      </c>
      <c r="G707" s="1">
        <v>44742</v>
      </c>
      <c r="H707" s="2">
        <v>44866</v>
      </c>
    </row>
    <row r="708" spans="1:8" hidden="1" x14ac:dyDescent="0.45">
      <c r="A708">
        <v>706</v>
      </c>
      <c r="B708" t="s">
        <v>8</v>
      </c>
      <c r="C708" s="3">
        <v>588349.13208902697</v>
      </c>
      <c r="D708" s="3">
        <v>296545.46000000002</v>
      </c>
      <c r="E708" s="3">
        <v>250389.70647538401</v>
      </c>
      <c r="F708" s="3">
        <v>979225.611972649</v>
      </c>
      <c r="G708" s="1">
        <v>44742</v>
      </c>
      <c r="H708" s="2">
        <v>44896</v>
      </c>
    </row>
    <row r="709" spans="1:8" hidden="1" x14ac:dyDescent="0.45">
      <c r="A709">
        <v>707</v>
      </c>
      <c r="B709" t="s">
        <v>8</v>
      </c>
      <c r="C709" s="3">
        <v>1344840.89273382</v>
      </c>
      <c r="D709" s="3">
        <v>906355.06</v>
      </c>
      <c r="E709" s="3">
        <v>652097.01316615404</v>
      </c>
      <c r="F709" s="3">
        <v>2097929.3783540898</v>
      </c>
      <c r="G709" s="1">
        <v>44742</v>
      </c>
      <c r="H709" s="2">
        <v>44927</v>
      </c>
    </row>
    <row r="710" spans="1:8" hidden="1" x14ac:dyDescent="0.45">
      <c r="A710">
        <v>708</v>
      </c>
      <c r="B710" t="s">
        <v>8</v>
      </c>
      <c r="C710" s="3">
        <v>1083438.1050354999</v>
      </c>
      <c r="D710" s="3">
        <v>820950.95</v>
      </c>
      <c r="E710" s="3">
        <v>503926.742317205</v>
      </c>
      <c r="F710" s="3">
        <v>1716139.3201198799</v>
      </c>
      <c r="G710" s="1">
        <v>44742</v>
      </c>
      <c r="H710" s="2">
        <v>44958</v>
      </c>
    </row>
    <row r="711" spans="1:8" hidden="1" x14ac:dyDescent="0.45">
      <c r="A711">
        <v>709</v>
      </c>
      <c r="B711" t="s">
        <v>8</v>
      </c>
      <c r="C711" s="3">
        <v>2653181.0983666098</v>
      </c>
      <c r="D711" s="3">
        <v>497141.42</v>
      </c>
      <c r="E711" s="3">
        <v>1621341.6514055</v>
      </c>
      <c r="F711" s="3">
        <v>3779590.2608106602</v>
      </c>
      <c r="G711" s="1">
        <v>44742</v>
      </c>
      <c r="H711" s="2">
        <v>44986</v>
      </c>
    </row>
    <row r="712" spans="1:8" hidden="1" x14ac:dyDescent="0.45">
      <c r="A712">
        <v>710</v>
      </c>
      <c r="B712" t="s">
        <v>8</v>
      </c>
      <c r="C712" s="3">
        <v>346309.39325797698</v>
      </c>
      <c r="D712" s="3">
        <v>864566.35</v>
      </c>
      <c r="E712" s="3">
        <v>129896.60303563099</v>
      </c>
      <c r="F712" s="3">
        <v>595143.77268227004</v>
      </c>
      <c r="G712" s="1">
        <v>44742</v>
      </c>
      <c r="H712" s="2">
        <v>45017</v>
      </c>
    </row>
    <row r="713" spans="1:8" hidden="1" x14ac:dyDescent="0.45">
      <c r="A713">
        <v>711</v>
      </c>
      <c r="B713" t="s">
        <v>8</v>
      </c>
      <c r="C713" s="3">
        <v>681251.84100018698</v>
      </c>
      <c r="D713" s="3">
        <v>866697.16999999899</v>
      </c>
      <c r="E713" s="3">
        <v>344707.25311014801</v>
      </c>
      <c r="F713" s="3">
        <v>1068788.00032209</v>
      </c>
      <c r="G713" s="1">
        <v>44742</v>
      </c>
      <c r="H713" s="2">
        <v>45047</v>
      </c>
    </row>
    <row r="714" spans="1:8" hidden="1" x14ac:dyDescent="0.45">
      <c r="A714">
        <v>712</v>
      </c>
      <c r="B714" t="s">
        <v>8</v>
      </c>
      <c r="C714" s="3">
        <v>1211591.36401031</v>
      </c>
      <c r="D714" s="3">
        <v>745192.25</v>
      </c>
      <c r="E714" s="3">
        <v>693886.49336616194</v>
      </c>
      <c r="F714" s="3">
        <v>1781584.5889975999</v>
      </c>
      <c r="G714" s="1">
        <v>44742</v>
      </c>
      <c r="H714" s="2">
        <v>45078</v>
      </c>
    </row>
    <row r="715" spans="1:8" hidden="1" x14ac:dyDescent="0.45">
      <c r="A715">
        <v>713</v>
      </c>
      <c r="B715" t="s">
        <v>8</v>
      </c>
      <c r="C715" s="3">
        <v>2548037.08748119</v>
      </c>
      <c r="D715" s="3">
        <v>772618.37</v>
      </c>
      <c r="E715" s="3">
        <v>1252045.2201473101</v>
      </c>
      <c r="F715" s="3">
        <v>3887923.0281535401</v>
      </c>
      <c r="G715" s="1">
        <v>44742</v>
      </c>
      <c r="H715" s="2">
        <v>45108</v>
      </c>
    </row>
    <row r="716" spans="1:8" hidden="1" x14ac:dyDescent="0.45">
      <c r="A716">
        <v>714</v>
      </c>
      <c r="B716" t="s">
        <v>8</v>
      </c>
      <c r="C716" s="3">
        <v>1201360.31853134</v>
      </c>
      <c r="D716" s="3">
        <v>805790.76</v>
      </c>
      <c r="E716" s="3">
        <v>476095.364354808</v>
      </c>
      <c r="F716" s="3">
        <v>1981884.1469980001</v>
      </c>
      <c r="G716" s="1">
        <v>44742</v>
      </c>
      <c r="H716" s="2">
        <v>45139</v>
      </c>
    </row>
    <row r="717" spans="1:8" hidden="1" x14ac:dyDescent="0.45">
      <c r="A717">
        <v>715</v>
      </c>
      <c r="B717" t="s">
        <v>8</v>
      </c>
      <c r="C717" s="3">
        <v>1721224.6002195701</v>
      </c>
      <c r="D717" s="3">
        <v>856255.32</v>
      </c>
      <c r="E717" s="3">
        <v>826393.91991586704</v>
      </c>
      <c r="F717" s="3">
        <v>2700187.9840003601</v>
      </c>
      <c r="G717" s="1">
        <v>44742</v>
      </c>
      <c r="H717" s="2">
        <v>45170</v>
      </c>
    </row>
    <row r="718" spans="1:8" hidden="1" x14ac:dyDescent="0.45">
      <c r="A718">
        <v>716</v>
      </c>
      <c r="B718" t="s">
        <v>8</v>
      </c>
      <c r="C718" s="3">
        <v>1041337.00182743</v>
      </c>
      <c r="D718" s="3">
        <v>768459.63</v>
      </c>
      <c r="E718" s="3">
        <v>455619.79092117399</v>
      </c>
      <c r="F718" s="3">
        <v>1732756.46163596</v>
      </c>
      <c r="G718" s="1">
        <v>44742</v>
      </c>
      <c r="H718" s="2">
        <v>45200</v>
      </c>
    </row>
    <row r="719" spans="1:8" hidden="1" x14ac:dyDescent="0.45">
      <c r="A719">
        <v>717</v>
      </c>
      <c r="B719" t="s">
        <v>8</v>
      </c>
      <c r="C719" s="3">
        <v>2823353.2623506701</v>
      </c>
      <c r="D719" s="3">
        <v>1271570.48</v>
      </c>
      <c r="E719" s="3">
        <v>1582609.1682031001</v>
      </c>
      <c r="F719" s="3">
        <v>4110039.3746653502</v>
      </c>
      <c r="G719" s="1">
        <v>44742</v>
      </c>
      <c r="H719" s="2">
        <v>45231</v>
      </c>
    </row>
    <row r="720" spans="1:8" hidden="1" x14ac:dyDescent="0.45">
      <c r="A720">
        <v>718</v>
      </c>
      <c r="B720" t="s">
        <v>8</v>
      </c>
      <c r="C720" s="3">
        <v>516095.31780064403</v>
      </c>
      <c r="D720" s="3">
        <v>548876.84</v>
      </c>
      <c r="E720" s="3">
        <v>214745.08619028801</v>
      </c>
      <c r="F720" s="3">
        <v>872258.00986638805</v>
      </c>
      <c r="G720" s="1">
        <v>44742</v>
      </c>
      <c r="H720" s="2">
        <v>45261</v>
      </c>
    </row>
    <row r="721" spans="1:8" hidden="1" x14ac:dyDescent="0.45">
      <c r="A721">
        <v>719</v>
      </c>
      <c r="B721" t="s">
        <v>8</v>
      </c>
      <c r="C721" s="3">
        <v>1171679.15175181</v>
      </c>
      <c r="D721" s="3">
        <v>870790.30999999901</v>
      </c>
      <c r="E721" s="3">
        <v>567762.05532464897</v>
      </c>
      <c r="F721" s="3">
        <v>1856032.3388803501</v>
      </c>
      <c r="G721" s="1">
        <v>44742</v>
      </c>
      <c r="H721" s="2">
        <v>45292</v>
      </c>
    </row>
    <row r="722" spans="1:8" hidden="1" x14ac:dyDescent="0.45">
      <c r="A722">
        <v>720</v>
      </c>
      <c r="B722" t="s">
        <v>8</v>
      </c>
      <c r="C722" s="3">
        <v>941837.52511190902</v>
      </c>
      <c r="D722" s="3">
        <v>575838.02999999898</v>
      </c>
      <c r="E722" s="3">
        <v>430507.04941777798</v>
      </c>
      <c r="F722" s="3">
        <v>1501021.1890098201</v>
      </c>
      <c r="G722" s="1">
        <v>44742</v>
      </c>
      <c r="H722" s="2">
        <v>45323</v>
      </c>
    </row>
    <row r="723" spans="1:8" hidden="1" x14ac:dyDescent="0.45">
      <c r="A723">
        <v>721</v>
      </c>
      <c r="B723" t="s">
        <v>8</v>
      </c>
      <c r="C723" s="3">
        <v>2274656.6527807699</v>
      </c>
      <c r="D723" s="3">
        <v>577551.76</v>
      </c>
      <c r="E723" s="3">
        <v>1366204.9774474499</v>
      </c>
      <c r="F723" s="3">
        <v>3242395.0293942299</v>
      </c>
      <c r="G723" s="1">
        <v>44742</v>
      </c>
      <c r="H723" s="2">
        <v>45352</v>
      </c>
    </row>
    <row r="724" spans="1:8" hidden="1" x14ac:dyDescent="0.45">
      <c r="A724">
        <v>722</v>
      </c>
      <c r="B724" t="s">
        <v>8</v>
      </c>
      <c r="C724" s="3">
        <v>301475.36162168102</v>
      </c>
      <c r="D724" s="3">
        <v>899647.53</v>
      </c>
      <c r="E724" s="3">
        <v>117221.495909577</v>
      </c>
      <c r="F724" s="3">
        <v>521197.588443004</v>
      </c>
      <c r="G724" s="1">
        <v>44742</v>
      </c>
      <c r="H724" s="2">
        <v>45383</v>
      </c>
    </row>
    <row r="725" spans="1:8" hidden="1" x14ac:dyDescent="0.45">
      <c r="A725">
        <v>723</v>
      </c>
      <c r="B725" t="s">
        <v>8</v>
      </c>
      <c r="C725" s="3">
        <v>592904.83884980006</v>
      </c>
      <c r="D725" s="3">
        <v>480176.74</v>
      </c>
      <c r="E725" s="3">
        <v>301728.19254118</v>
      </c>
      <c r="F725" s="3">
        <v>932747.76429614401</v>
      </c>
      <c r="G725" s="1">
        <v>44742</v>
      </c>
      <c r="H725" s="2">
        <v>45413</v>
      </c>
    </row>
    <row r="726" spans="1:8" hidden="1" x14ac:dyDescent="0.45">
      <c r="A726">
        <v>724</v>
      </c>
      <c r="B726" t="s">
        <v>8</v>
      </c>
      <c r="C726" s="3">
        <v>1063732.7940448399</v>
      </c>
      <c r="D726" s="3">
        <v>513497.22</v>
      </c>
      <c r="E726" s="3">
        <v>621703.18989122799</v>
      </c>
      <c r="F726" s="3">
        <v>1573740.6721463399</v>
      </c>
      <c r="G726" s="1">
        <v>44742</v>
      </c>
      <c r="H726" s="2">
        <v>45444</v>
      </c>
    </row>
    <row r="727" spans="1:8" hidden="1" x14ac:dyDescent="0.45">
      <c r="A727">
        <v>725</v>
      </c>
      <c r="B727" t="s">
        <v>8</v>
      </c>
      <c r="C727" s="3">
        <v>2209167.2289899001</v>
      </c>
      <c r="D727" s="3">
        <v>561321.46</v>
      </c>
      <c r="E727" s="3">
        <v>1076549.56741786</v>
      </c>
      <c r="F727" s="3">
        <v>3371877.34065542</v>
      </c>
      <c r="G727" s="1">
        <v>44742</v>
      </c>
      <c r="H727" s="2">
        <v>45474</v>
      </c>
    </row>
    <row r="728" spans="1:8" hidden="1" x14ac:dyDescent="0.45">
      <c r="A728">
        <v>726</v>
      </c>
      <c r="B728" t="s">
        <v>8</v>
      </c>
      <c r="C728" s="3">
        <v>1044126.76749068</v>
      </c>
      <c r="D728" s="3">
        <v>516672.37999999902</v>
      </c>
      <c r="E728" s="3">
        <v>416631.87473919999</v>
      </c>
      <c r="F728" s="3">
        <v>1719154.8080575501</v>
      </c>
      <c r="G728" s="1">
        <v>44742</v>
      </c>
      <c r="H728" s="2">
        <v>45505</v>
      </c>
    </row>
    <row r="729" spans="1:8" hidden="1" x14ac:dyDescent="0.45">
      <c r="A729">
        <v>727</v>
      </c>
      <c r="B729" t="s">
        <v>8</v>
      </c>
      <c r="C729" s="3">
        <v>1496720.78320658</v>
      </c>
      <c r="D729" s="3">
        <v>957933.79</v>
      </c>
      <c r="E729" s="3">
        <v>710315.55818730895</v>
      </c>
      <c r="F729" s="3">
        <v>2336372.1748826499</v>
      </c>
      <c r="G729" s="1">
        <v>44742</v>
      </c>
      <c r="H729" s="2">
        <v>45536</v>
      </c>
    </row>
    <row r="730" spans="1:8" hidden="1" x14ac:dyDescent="0.45">
      <c r="A730">
        <v>728</v>
      </c>
      <c r="B730" t="s">
        <v>8</v>
      </c>
      <c r="C730" s="3">
        <v>907087.02018218196</v>
      </c>
      <c r="D730" s="3">
        <v>391220.67</v>
      </c>
      <c r="E730" s="3">
        <v>393858.11690963199</v>
      </c>
      <c r="F730" s="3">
        <v>1508768.4039550901</v>
      </c>
      <c r="G730" s="1">
        <v>44742</v>
      </c>
      <c r="H730" s="2">
        <v>45566</v>
      </c>
    </row>
    <row r="731" spans="1:8" hidden="1" x14ac:dyDescent="0.45">
      <c r="A731">
        <v>729</v>
      </c>
      <c r="B731" t="s">
        <v>8</v>
      </c>
      <c r="C731" s="3">
        <v>2448245.9184988202</v>
      </c>
      <c r="D731" s="3"/>
      <c r="E731" s="3">
        <v>1404416.95583905</v>
      </c>
      <c r="F731" s="3">
        <v>3585657.3090924802</v>
      </c>
      <c r="G731" s="1">
        <v>44742</v>
      </c>
      <c r="H731" s="2">
        <v>45597</v>
      </c>
    </row>
    <row r="732" spans="1:8" hidden="1" x14ac:dyDescent="0.45">
      <c r="A732">
        <v>730</v>
      </c>
      <c r="B732" t="s">
        <v>8</v>
      </c>
      <c r="C732" s="3">
        <v>449912.94877592399</v>
      </c>
      <c r="D732" s="3"/>
      <c r="E732" s="3">
        <v>187323.36240117101</v>
      </c>
      <c r="F732" s="3">
        <v>759952.65897540003</v>
      </c>
      <c r="G732" s="1">
        <v>44742</v>
      </c>
      <c r="H732" s="2">
        <v>45627</v>
      </c>
    </row>
    <row r="733" spans="1:8" hidden="1" x14ac:dyDescent="0.45">
      <c r="A733">
        <v>731</v>
      </c>
      <c r="B733" t="s">
        <v>8</v>
      </c>
      <c r="C733" s="3">
        <v>1023351.5970835401</v>
      </c>
      <c r="D733" s="3"/>
      <c r="E733" s="3">
        <v>483024.01570722501</v>
      </c>
      <c r="F733" s="3">
        <v>1614215.7722336</v>
      </c>
      <c r="G733" s="1">
        <v>44742</v>
      </c>
      <c r="H733" s="2">
        <v>45658</v>
      </c>
    </row>
    <row r="734" spans="1:8" hidden="1" x14ac:dyDescent="0.45">
      <c r="A734">
        <v>732</v>
      </c>
      <c r="B734" t="s">
        <v>8</v>
      </c>
      <c r="C734" s="3">
        <v>821202.43078441196</v>
      </c>
      <c r="D734" s="3"/>
      <c r="E734" s="3">
        <v>383508.51764520397</v>
      </c>
      <c r="F734" s="3">
        <v>1315802.9364491301</v>
      </c>
      <c r="G734" s="1">
        <v>44742</v>
      </c>
      <c r="H734" s="2">
        <v>45689</v>
      </c>
    </row>
    <row r="735" spans="1:8" hidden="1" x14ac:dyDescent="0.45">
      <c r="A735">
        <v>733</v>
      </c>
      <c r="B735" t="s">
        <v>8</v>
      </c>
      <c r="C735" s="3">
        <v>1965218.37722722</v>
      </c>
      <c r="D735" s="3"/>
      <c r="E735" s="3">
        <v>1162989.33404748</v>
      </c>
      <c r="F735" s="3">
        <v>2801665.7691836702</v>
      </c>
      <c r="G735" s="1">
        <v>44742</v>
      </c>
      <c r="H735" s="2">
        <v>45717</v>
      </c>
    </row>
    <row r="736" spans="1:8" hidden="1" x14ac:dyDescent="0.45">
      <c r="A736">
        <v>734</v>
      </c>
      <c r="B736" t="s">
        <v>8</v>
      </c>
      <c r="C736" s="3">
        <v>264388.728911185</v>
      </c>
      <c r="D736" s="3"/>
      <c r="E736" s="3">
        <v>99018.879040647706</v>
      </c>
      <c r="F736" s="3">
        <v>455328.25763591501</v>
      </c>
      <c r="G736" s="1">
        <v>44742</v>
      </c>
      <c r="H736" s="2">
        <v>45748</v>
      </c>
    </row>
    <row r="737" spans="1:8" hidden="1" x14ac:dyDescent="0.45">
      <c r="A737">
        <v>735</v>
      </c>
      <c r="B737" t="s">
        <v>8</v>
      </c>
      <c r="C737" s="3">
        <v>519731.58946722001</v>
      </c>
      <c r="D737" s="3"/>
      <c r="E737" s="3">
        <v>255258.69322602201</v>
      </c>
      <c r="F737" s="3">
        <v>811548.56297866395</v>
      </c>
      <c r="G737" s="1">
        <v>44742</v>
      </c>
      <c r="H737" s="2">
        <v>45778</v>
      </c>
    </row>
    <row r="738" spans="1:8" hidden="1" x14ac:dyDescent="0.45">
      <c r="A738">
        <v>736</v>
      </c>
      <c r="B738" t="s">
        <v>8</v>
      </c>
      <c r="C738" s="3">
        <v>940295.98122237006</v>
      </c>
      <c r="D738" s="3"/>
      <c r="E738" s="3">
        <v>538288.44749353395</v>
      </c>
      <c r="F738" s="3">
        <v>1385680.9287276401</v>
      </c>
      <c r="G738" s="1">
        <v>44742</v>
      </c>
      <c r="H738" s="2">
        <v>45809</v>
      </c>
    </row>
    <row r="739" spans="1:8" hidden="1" x14ac:dyDescent="0.45">
      <c r="A739">
        <v>737</v>
      </c>
      <c r="B739" t="s">
        <v>8</v>
      </c>
      <c r="C739" s="3">
        <v>1928045.31800005</v>
      </c>
      <c r="D739" s="3"/>
      <c r="E739" s="3">
        <v>956774.02982153895</v>
      </c>
      <c r="F739" s="3">
        <v>2963381.9393805</v>
      </c>
      <c r="G739" s="1">
        <v>44742</v>
      </c>
      <c r="H739" s="2">
        <v>45839</v>
      </c>
    </row>
    <row r="740" spans="1:8" hidden="1" x14ac:dyDescent="0.45">
      <c r="A740">
        <v>738</v>
      </c>
      <c r="B740" t="s">
        <v>8</v>
      </c>
      <c r="C740" s="3">
        <v>913391.06751538499</v>
      </c>
      <c r="D740" s="3"/>
      <c r="E740" s="3">
        <v>359635.37671049201</v>
      </c>
      <c r="F740" s="3">
        <v>1496289.29659464</v>
      </c>
      <c r="G740" s="1">
        <v>44742</v>
      </c>
      <c r="H740" s="2">
        <v>45870</v>
      </c>
    </row>
    <row r="741" spans="1:8" hidden="1" x14ac:dyDescent="0.45">
      <c r="A741">
        <v>739</v>
      </c>
      <c r="B741" t="s">
        <v>8</v>
      </c>
      <c r="C741" s="3">
        <v>1310492.9348941599</v>
      </c>
      <c r="D741" s="3"/>
      <c r="E741" s="3">
        <v>627188.20244969602</v>
      </c>
      <c r="F741" s="3">
        <v>2045357.9011390801</v>
      </c>
      <c r="G741" s="1">
        <v>44742</v>
      </c>
      <c r="H741" s="2">
        <v>45901</v>
      </c>
    </row>
    <row r="742" spans="1:8" hidden="1" x14ac:dyDescent="0.45">
      <c r="A742">
        <v>740</v>
      </c>
      <c r="B742" t="s">
        <v>8</v>
      </c>
      <c r="C742" s="3">
        <v>795817.38238002697</v>
      </c>
      <c r="D742" s="3"/>
      <c r="E742" s="3">
        <v>338227.24323554401</v>
      </c>
      <c r="F742" s="3">
        <v>1317746.0408437101</v>
      </c>
      <c r="G742" s="1">
        <v>44742</v>
      </c>
      <c r="H742" s="2">
        <v>45931</v>
      </c>
    </row>
    <row r="743" spans="1:8" hidden="1" x14ac:dyDescent="0.45">
      <c r="A743">
        <v>741</v>
      </c>
      <c r="B743" t="s">
        <v>7</v>
      </c>
      <c r="C743" s="3">
        <v>150930.54413699199</v>
      </c>
      <c r="D743" s="3">
        <v>28250.62</v>
      </c>
      <c r="E743" s="3">
        <v>81879.124434150101</v>
      </c>
      <c r="F743" s="3">
        <v>228995.08721109599</v>
      </c>
      <c r="G743" s="1">
        <v>44773</v>
      </c>
      <c r="H743" s="2">
        <v>44228</v>
      </c>
    </row>
    <row r="744" spans="1:8" hidden="1" x14ac:dyDescent="0.45">
      <c r="A744">
        <v>742</v>
      </c>
      <c r="B744" t="s">
        <v>7</v>
      </c>
      <c r="C744" s="3">
        <v>358989.746082725</v>
      </c>
      <c r="D744" s="3">
        <v>36247.919999999998</v>
      </c>
      <c r="E744" s="3">
        <v>239113.57314084799</v>
      </c>
      <c r="F744" s="3">
        <v>487092.747607878</v>
      </c>
      <c r="G744" s="1">
        <v>44773</v>
      </c>
      <c r="H744" s="2">
        <v>44256</v>
      </c>
    </row>
    <row r="745" spans="1:8" hidden="1" x14ac:dyDescent="0.45">
      <c r="A745">
        <v>743</v>
      </c>
      <c r="B745" t="s">
        <v>7</v>
      </c>
      <c r="C745" s="3">
        <v>92627.397991221806</v>
      </c>
      <c r="D745" s="3">
        <v>14721.48</v>
      </c>
      <c r="E745" s="3">
        <v>39015.0209194821</v>
      </c>
      <c r="F745" s="3">
        <v>158634.41819006199</v>
      </c>
      <c r="G745" s="1">
        <v>44773</v>
      </c>
      <c r="H745" s="2">
        <v>44287</v>
      </c>
    </row>
    <row r="746" spans="1:8" hidden="1" x14ac:dyDescent="0.45">
      <c r="A746">
        <v>744</v>
      </c>
      <c r="B746" t="s">
        <v>7</v>
      </c>
      <c r="C746" s="3">
        <v>185356.146730921</v>
      </c>
      <c r="D746" s="3">
        <v>94346.71</v>
      </c>
      <c r="E746" s="3">
        <v>87982.521840058398</v>
      </c>
      <c r="F746" s="3">
        <v>286964.36198976799</v>
      </c>
      <c r="G746" s="1">
        <v>44773</v>
      </c>
      <c r="H746" s="2">
        <v>44317</v>
      </c>
    </row>
    <row r="747" spans="1:8" hidden="1" x14ac:dyDescent="0.45">
      <c r="A747">
        <v>745</v>
      </c>
      <c r="B747" t="s">
        <v>7</v>
      </c>
      <c r="C747" s="3">
        <v>541090.33438766398</v>
      </c>
      <c r="D747" s="3">
        <v>970740.72</v>
      </c>
      <c r="E747" s="3">
        <v>352372.92893888999</v>
      </c>
      <c r="F747" s="3">
        <v>751504.18470258103</v>
      </c>
      <c r="G747" s="1">
        <v>44773</v>
      </c>
      <c r="H747" s="2">
        <v>44348</v>
      </c>
    </row>
    <row r="748" spans="1:8" hidden="1" x14ac:dyDescent="0.45">
      <c r="A748">
        <v>746</v>
      </c>
      <c r="B748" t="s">
        <v>7</v>
      </c>
      <c r="C748" s="3">
        <v>1199533.30306376</v>
      </c>
      <c r="D748" s="3">
        <v>1798271.24</v>
      </c>
      <c r="E748" s="3">
        <v>817669.80756365496</v>
      </c>
      <c r="F748" s="3">
        <v>1576293.77968321</v>
      </c>
      <c r="G748" s="1">
        <v>44773</v>
      </c>
      <c r="H748" s="2">
        <v>44378</v>
      </c>
    </row>
    <row r="749" spans="1:8" hidden="1" x14ac:dyDescent="0.45">
      <c r="A749">
        <v>747</v>
      </c>
      <c r="B749" t="s">
        <v>7</v>
      </c>
      <c r="C749" s="3">
        <v>903795.07065763802</v>
      </c>
      <c r="D749" s="3">
        <v>700449.31</v>
      </c>
      <c r="E749" s="3">
        <v>542706.29276679503</v>
      </c>
      <c r="F749" s="3">
        <v>1286982.6979038899</v>
      </c>
      <c r="G749" s="1">
        <v>44773</v>
      </c>
      <c r="H749" s="2">
        <v>44409</v>
      </c>
    </row>
    <row r="750" spans="1:8" hidden="1" x14ac:dyDescent="0.45">
      <c r="A750">
        <v>748</v>
      </c>
      <c r="B750" t="s">
        <v>7</v>
      </c>
      <c r="C750" s="3">
        <v>1382889.1915524499</v>
      </c>
      <c r="D750" s="3">
        <v>1784906.52</v>
      </c>
      <c r="E750" s="3">
        <v>916607.56596656796</v>
      </c>
      <c r="F750" s="3">
        <v>1892582.21795381</v>
      </c>
      <c r="G750" s="1">
        <v>44773</v>
      </c>
      <c r="H750" s="2">
        <v>44440</v>
      </c>
    </row>
    <row r="751" spans="1:8" hidden="1" x14ac:dyDescent="0.45">
      <c r="A751">
        <v>749</v>
      </c>
      <c r="B751" t="s">
        <v>7</v>
      </c>
      <c r="C751" s="3">
        <v>912405.58226643095</v>
      </c>
      <c r="D751" s="3">
        <v>706422.77</v>
      </c>
      <c r="E751" s="3">
        <v>534971.40870771895</v>
      </c>
      <c r="F751" s="3">
        <v>1326579.5357294199</v>
      </c>
      <c r="G751" s="1">
        <v>44773</v>
      </c>
      <c r="H751" s="2">
        <v>44470</v>
      </c>
    </row>
    <row r="752" spans="1:8" hidden="1" x14ac:dyDescent="0.45">
      <c r="A752">
        <v>750</v>
      </c>
      <c r="B752" t="s">
        <v>7</v>
      </c>
      <c r="C752" s="3">
        <v>2564512.6732481602</v>
      </c>
      <c r="D752" s="3">
        <v>3115611.92</v>
      </c>
      <c r="E752" s="3">
        <v>1840058.6395525699</v>
      </c>
      <c r="F752" s="3">
        <v>3322430.4867514698</v>
      </c>
      <c r="G752" s="1">
        <v>44773</v>
      </c>
      <c r="H752" s="2">
        <v>44501</v>
      </c>
    </row>
    <row r="753" spans="1:8" hidden="1" x14ac:dyDescent="0.45">
      <c r="A753">
        <v>751</v>
      </c>
      <c r="B753" t="s">
        <v>7</v>
      </c>
      <c r="C753" s="3">
        <v>595638.65425028501</v>
      </c>
      <c r="D753" s="3">
        <v>227049.91</v>
      </c>
      <c r="E753" s="3">
        <v>277450.320276151</v>
      </c>
      <c r="F753" s="3">
        <v>949734.69868872303</v>
      </c>
      <c r="G753" s="1">
        <v>44773</v>
      </c>
      <c r="H753" s="2">
        <v>44531</v>
      </c>
    </row>
    <row r="754" spans="1:8" hidden="1" x14ac:dyDescent="0.45">
      <c r="A754">
        <v>752</v>
      </c>
      <c r="B754" t="s">
        <v>7</v>
      </c>
      <c r="C754" s="3">
        <v>1280226.5517341199</v>
      </c>
      <c r="D754" s="3">
        <v>1231496.1499999999</v>
      </c>
      <c r="E754" s="3">
        <v>759970.59002318303</v>
      </c>
      <c r="F754" s="3">
        <v>1820429.34185079</v>
      </c>
      <c r="G754" s="1">
        <v>44773</v>
      </c>
      <c r="H754" s="2">
        <v>44562</v>
      </c>
    </row>
    <row r="755" spans="1:8" hidden="1" x14ac:dyDescent="0.45">
      <c r="A755">
        <v>753</v>
      </c>
      <c r="B755" t="s">
        <v>7</v>
      </c>
      <c r="C755" s="3">
        <v>1024843.53360323</v>
      </c>
      <c r="D755" s="3">
        <v>1031231.86</v>
      </c>
      <c r="E755" s="3">
        <v>583666.43880572997</v>
      </c>
      <c r="F755" s="3">
        <v>1495388.30450651</v>
      </c>
      <c r="G755" s="1">
        <v>44773</v>
      </c>
      <c r="H755" s="2">
        <v>44593</v>
      </c>
    </row>
    <row r="756" spans="1:8" hidden="1" x14ac:dyDescent="0.45">
      <c r="A756">
        <v>754</v>
      </c>
      <c r="B756" t="s">
        <v>7</v>
      </c>
      <c r="C756" s="3">
        <v>2515002.4657673198</v>
      </c>
      <c r="D756" s="3">
        <v>2866780.02</v>
      </c>
      <c r="E756" s="3">
        <v>1737483.32091909</v>
      </c>
      <c r="F756" s="3">
        <v>3344894.3473163401</v>
      </c>
      <c r="G756" s="1">
        <v>44773</v>
      </c>
      <c r="H756" s="2">
        <v>44621</v>
      </c>
    </row>
    <row r="757" spans="1:8" hidden="1" x14ac:dyDescent="0.45">
      <c r="A757">
        <v>755</v>
      </c>
      <c r="B757" t="s">
        <v>7</v>
      </c>
      <c r="C757" s="3">
        <v>416979.016582073</v>
      </c>
      <c r="D757" s="3">
        <v>106305.83</v>
      </c>
      <c r="E757" s="3">
        <v>173467.77028332799</v>
      </c>
      <c r="F757" s="3">
        <v>690513.37245061295</v>
      </c>
      <c r="G757" s="1">
        <v>44773</v>
      </c>
      <c r="H757" s="2">
        <v>44652</v>
      </c>
    </row>
    <row r="758" spans="1:8" hidden="1" x14ac:dyDescent="0.45">
      <c r="A758">
        <v>756</v>
      </c>
      <c r="B758" t="s">
        <v>7</v>
      </c>
      <c r="C758" s="3">
        <v>747614.78661677905</v>
      </c>
      <c r="D758" s="3">
        <v>667164.73</v>
      </c>
      <c r="E758" s="3">
        <v>384654.645698092</v>
      </c>
      <c r="F758" s="3">
        <v>1142861.8316653899</v>
      </c>
      <c r="G758" s="1">
        <v>44773</v>
      </c>
      <c r="H758" s="2">
        <v>44682</v>
      </c>
    </row>
    <row r="759" spans="1:8" hidden="1" x14ac:dyDescent="0.45">
      <c r="A759">
        <v>757</v>
      </c>
      <c r="B759" t="s">
        <v>7</v>
      </c>
      <c r="C759" s="3">
        <v>1317022.36434711</v>
      </c>
      <c r="D759" s="3">
        <v>1398761.09</v>
      </c>
      <c r="E759" s="3">
        <v>812020.64397293795</v>
      </c>
      <c r="F759" s="3">
        <v>1869125.5155016901</v>
      </c>
      <c r="G759" s="1">
        <v>44773</v>
      </c>
      <c r="H759" s="2">
        <v>44713</v>
      </c>
    </row>
    <row r="760" spans="1:8" hidden="1" x14ac:dyDescent="0.45">
      <c r="A760">
        <v>758</v>
      </c>
      <c r="B760" t="s">
        <v>7</v>
      </c>
      <c r="C760" s="3">
        <v>1381157.46833235</v>
      </c>
      <c r="D760" s="3">
        <v>931475.54</v>
      </c>
      <c r="E760" s="3">
        <v>849228.75960178697</v>
      </c>
      <c r="F760" s="3">
        <v>1952821.78429131</v>
      </c>
      <c r="G760" s="1">
        <v>44773</v>
      </c>
      <c r="H760" s="2">
        <v>44743</v>
      </c>
    </row>
    <row r="761" spans="1:8" hidden="1" x14ac:dyDescent="0.45">
      <c r="A761">
        <v>759</v>
      </c>
      <c r="B761" t="s">
        <v>8</v>
      </c>
      <c r="C761" s="3">
        <v>1016164.77191254</v>
      </c>
      <c r="D761" s="3">
        <v>1290839.18</v>
      </c>
      <c r="E761" s="3">
        <v>446057.49775925197</v>
      </c>
      <c r="F761" s="3">
        <v>1608533.93901011</v>
      </c>
      <c r="G761" s="1">
        <v>44773</v>
      </c>
      <c r="H761" s="2">
        <v>44774</v>
      </c>
    </row>
    <row r="762" spans="1:8" hidden="1" x14ac:dyDescent="0.45">
      <c r="A762">
        <v>760</v>
      </c>
      <c r="B762" t="s">
        <v>8</v>
      </c>
      <c r="C762" s="3">
        <v>1516441.10853135</v>
      </c>
      <c r="D762" s="3">
        <v>896779.48</v>
      </c>
      <c r="E762" s="3">
        <v>740511.75984960794</v>
      </c>
      <c r="F762" s="3">
        <v>2385149.2355110198</v>
      </c>
      <c r="G762" s="1">
        <v>44773</v>
      </c>
      <c r="H762" s="2">
        <v>44805</v>
      </c>
    </row>
    <row r="763" spans="1:8" hidden="1" x14ac:dyDescent="0.45">
      <c r="A763">
        <v>761</v>
      </c>
      <c r="B763" t="s">
        <v>8</v>
      </c>
      <c r="C763" s="3">
        <v>896640.85540463601</v>
      </c>
      <c r="D763" s="3">
        <v>863621.27999999898</v>
      </c>
      <c r="E763" s="3">
        <v>445604.76793922897</v>
      </c>
      <c r="F763" s="3">
        <v>1416694.2405153899</v>
      </c>
      <c r="G763" s="1">
        <v>44773</v>
      </c>
      <c r="H763" s="2">
        <v>44835</v>
      </c>
    </row>
    <row r="764" spans="1:8" hidden="1" x14ac:dyDescent="0.45">
      <c r="A764">
        <v>762</v>
      </c>
      <c r="B764" t="s">
        <v>8</v>
      </c>
      <c r="C764" s="3">
        <v>2536693.5657939501</v>
      </c>
      <c r="D764" s="3">
        <v>1756318.21</v>
      </c>
      <c r="E764" s="3">
        <v>1447461.5979653001</v>
      </c>
      <c r="F764" s="3">
        <v>3689857.6201651501</v>
      </c>
      <c r="G764" s="1">
        <v>44773</v>
      </c>
      <c r="H764" s="2">
        <v>44866</v>
      </c>
    </row>
    <row r="765" spans="1:8" hidden="1" x14ac:dyDescent="0.45">
      <c r="A765">
        <v>763</v>
      </c>
      <c r="B765" t="s">
        <v>8</v>
      </c>
      <c r="C765" s="3">
        <v>464771.19068722602</v>
      </c>
      <c r="D765" s="3">
        <v>301629.56</v>
      </c>
      <c r="E765" s="3">
        <v>181636.48381308999</v>
      </c>
      <c r="F765" s="3">
        <v>783419.66325060895</v>
      </c>
      <c r="G765" s="1">
        <v>44773</v>
      </c>
      <c r="H765" s="2">
        <v>44896</v>
      </c>
    </row>
    <row r="766" spans="1:8" hidden="1" x14ac:dyDescent="0.45">
      <c r="A766">
        <v>764</v>
      </c>
      <c r="B766" t="s">
        <v>8</v>
      </c>
      <c r="C766" s="3">
        <v>1051355.1224415</v>
      </c>
      <c r="D766" s="3">
        <v>923148.77</v>
      </c>
      <c r="E766" s="3">
        <v>524918.48042006895</v>
      </c>
      <c r="F766" s="3">
        <v>1640280.5616851</v>
      </c>
      <c r="G766" s="1">
        <v>44773</v>
      </c>
      <c r="H766" s="2">
        <v>44927</v>
      </c>
    </row>
    <row r="767" spans="1:8" hidden="1" x14ac:dyDescent="0.45">
      <c r="A767">
        <v>765</v>
      </c>
      <c r="B767" t="s">
        <v>8</v>
      </c>
      <c r="C767" s="3">
        <v>837161.36256356596</v>
      </c>
      <c r="D767" s="3">
        <v>839227.12</v>
      </c>
      <c r="E767" s="3">
        <v>405378.78485137102</v>
      </c>
      <c r="F767" s="3">
        <v>1305742.2429667499</v>
      </c>
      <c r="G767" s="1">
        <v>44773</v>
      </c>
      <c r="H767" s="2">
        <v>44958</v>
      </c>
    </row>
    <row r="768" spans="1:8" hidden="1" x14ac:dyDescent="0.45">
      <c r="A768">
        <v>766</v>
      </c>
      <c r="B768" t="s">
        <v>8</v>
      </c>
      <c r="C768" s="3">
        <v>2023433.1089717301</v>
      </c>
      <c r="D768" s="3">
        <v>506331.6</v>
      </c>
      <c r="E768" s="3">
        <v>1232044.9538495201</v>
      </c>
      <c r="F768" s="3">
        <v>2873125.2608834701</v>
      </c>
      <c r="G768" s="1">
        <v>44773</v>
      </c>
      <c r="H768" s="2">
        <v>44986</v>
      </c>
    </row>
    <row r="769" spans="1:8" hidden="1" x14ac:dyDescent="0.45">
      <c r="A769">
        <v>767</v>
      </c>
      <c r="B769" t="s">
        <v>8</v>
      </c>
      <c r="C769" s="3">
        <v>289901.60063323198</v>
      </c>
      <c r="D769" s="3">
        <v>882279.85</v>
      </c>
      <c r="E769" s="3">
        <v>113970.045270485</v>
      </c>
      <c r="F769" s="3">
        <v>489878.521447065</v>
      </c>
      <c r="G769" s="1">
        <v>44773</v>
      </c>
      <c r="H769" s="2">
        <v>45017</v>
      </c>
    </row>
    <row r="770" spans="1:8" hidden="1" x14ac:dyDescent="0.45">
      <c r="A770">
        <v>768</v>
      </c>
      <c r="B770" t="s">
        <v>8</v>
      </c>
      <c r="C770" s="3">
        <v>543531.45079691405</v>
      </c>
      <c r="D770" s="3">
        <v>882798.73999999894</v>
      </c>
      <c r="E770" s="3">
        <v>259418.28011523999</v>
      </c>
      <c r="F770" s="3">
        <v>863722.05165202601</v>
      </c>
      <c r="G770" s="1">
        <v>44773</v>
      </c>
      <c r="H770" s="2">
        <v>45047</v>
      </c>
    </row>
    <row r="771" spans="1:8" hidden="1" x14ac:dyDescent="0.45">
      <c r="A771">
        <v>769</v>
      </c>
      <c r="B771" t="s">
        <v>8</v>
      </c>
      <c r="C771" s="3">
        <v>983872.31818749604</v>
      </c>
      <c r="D771" s="3">
        <v>762409.59</v>
      </c>
      <c r="E771" s="3">
        <v>557976.19447747804</v>
      </c>
      <c r="F771" s="3">
        <v>1416303.34852995</v>
      </c>
      <c r="G771" s="1">
        <v>44773</v>
      </c>
      <c r="H771" s="2">
        <v>45078</v>
      </c>
    </row>
    <row r="772" spans="1:8" hidden="1" x14ac:dyDescent="0.45">
      <c r="A772">
        <v>770</v>
      </c>
      <c r="B772" t="s">
        <v>8</v>
      </c>
      <c r="C772" s="3">
        <v>990841.23811142403</v>
      </c>
      <c r="D772" s="3">
        <v>786956.02</v>
      </c>
      <c r="E772" s="3">
        <v>578867.59389721195</v>
      </c>
      <c r="F772" s="3">
        <v>1439844.1827469501</v>
      </c>
      <c r="G772" s="1">
        <v>44773</v>
      </c>
      <c r="H772" s="2">
        <v>45108</v>
      </c>
    </row>
    <row r="773" spans="1:8" hidden="1" x14ac:dyDescent="0.45">
      <c r="A773">
        <v>771</v>
      </c>
      <c r="B773" t="s">
        <v>8</v>
      </c>
      <c r="C773" s="3">
        <v>777488.346643158</v>
      </c>
      <c r="D773" s="3">
        <v>820648.54</v>
      </c>
      <c r="E773" s="3">
        <v>328418.91394267802</v>
      </c>
      <c r="F773" s="3">
        <v>1267467.19932025</v>
      </c>
      <c r="G773" s="1">
        <v>44773</v>
      </c>
      <c r="H773" s="2">
        <v>45139</v>
      </c>
    </row>
    <row r="774" spans="1:8" hidden="1" x14ac:dyDescent="0.45">
      <c r="A774">
        <v>772</v>
      </c>
      <c r="B774" t="s">
        <v>8</v>
      </c>
      <c r="C774" s="3">
        <v>1187278.22487652</v>
      </c>
      <c r="D774" s="3">
        <v>875550.799999999</v>
      </c>
      <c r="E774" s="3">
        <v>566045.76672089496</v>
      </c>
      <c r="F774" s="3">
        <v>1890281.3687380999</v>
      </c>
      <c r="G774" s="1">
        <v>44773</v>
      </c>
      <c r="H774" s="2">
        <v>45170</v>
      </c>
    </row>
    <row r="775" spans="1:8" hidden="1" x14ac:dyDescent="0.45">
      <c r="A775">
        <v>773</v>
      </c>
      <c r="B775" t="s">
        <v>8</v>
      </c>
      <c r="C775" s="3">
        <v>709778.63182747294</v>
      </c>
      <c r="D775" s="3">
        <v>781040.98</v>
      </c>
      <c r="E775" s="3">
        <v>344447.60805508</v>
      </c>
      <c r="F775" s="3">
        <v>1122404.5505648199</v>
      </c>
      <c r="G775" s="1">
        <v>44773</v>
      </c>
      <c r="H775" s="2">
        <v>45200</v>
      </c>
    </row>
    <row r="776" spans="1:8" hidden="1" x14ac:dyDescent="0.45">
      <c r="A776">
        <v>774</v>
      </c>
      <c r="B776" t="s">
        <v>8</v>
      </c>
      <c r="C776" s="3">
        <v>2016063.5032971799</v>
      </c>
      <c r="D776" s="3">
        <v>1295320.26</v>
      </c>
      <c r="E776" s="3">
        <v>1098008.8339627699</v>
      </c>
      <c r="F776" s="3">
        <v>2956447.85897042</v>
      </c>
      <c r="G776" s="1">
        <v>44773</v>
      </c>
      <c r="H776" s="2">
        <v>45231</v>
      </c>
    </row>
    <row r="777" spans="1:8" hidden="1" x14ac:dyDescent="0.45">
      <c r="A777">
        <v>775</v>
      </c>
      <c r="B777" t="s">
        <v>8</v>
      </c>
      <c r="C777" s="3">
        <v>377963.63357679098</v>
      </c>
      <c r="D777" s="3">
        <v>557628.31999999995</v>
      </c>
      <c r="E777" s="3">
        <v>146027.97008954699</v>
      </c>
      <c r="F777" s="3">
        <v>641341.57914039504</v>
      </c>
      <c r="G777" s="1">
        <v>44773</v>
      </c>
      <c r="H777" s="2">
        <v>45261</v>
      </c>
    </row>
    <row r="778" spans="1:8" hidden="1" x14ac:dyDescent="0.45">
      <c r="A778">
        <v>776</v>
      </c>
      <c r="B778" t="s">
        <v>8</v>
      </c>
      <c r="C778" s="3">
        <v>861446.684163725</v>
      </c>
      <c r="D778" s="3">
        <v>889533.87</v>
      </c>
      <c r="E778" s="3">
        <v>426918.76392832497</v>
      </c>
      <c r="F778" s="3">
        <v>1355665.65143109</v>
      </c>
      <c r="G778" s="1">
        <v>44773</v>
      </c>
      <c r="H778" s="2">
        <v>45292</v>
      </c>
    </row>
    <row r="779" spans="1:8" hidden="1" x14ac:dyDescent="0.45">
      <c r="A779">
        <v>777</v>
      </c>
      <c r="B779" t="s">
        <v>8</v>
      </c>
      <c r="C779" s="3">
        <v>688668.52740835794</v>
      </c>
      <c r="D779" s="3">
        <v>587242.81999999995</v>
      </c>
      <c r="E779" s="3">
        <v>332023.31257076003</v>
      </c>
      <c r="F779" s="3">
        <v>1080559.6838342899</v>
      </c>
      <c r="G779" s="1">
        <v>44773</v>
      </c>
      <c r="H779" s="2">
        <v>45323</v>
      </c>
    </row>
    <row r="780" spans="1:8" hidden="1" x14ac:dyDescent="0.45">
      <c r="A780">
        <v>778</v>
      </c>
      <c r="B780" t="s">
        <v>8</v>
      </c>
      <c r="C780" s="3">
        <v>1637471.6017829999</v>
      </c>
      <c r="D780" s="3">
        <v>590664.29</v>
      </c>
      <c r="E780" s="3">
        <v>986773.38406981295</v>
      </c>
      <c r="F780" s="3">
        <v>2323106.3344317102</v>
      </c>
      <c r="G780" s="1">
        <v>44773</v>
      </c>
      <c r="H780" s="2">
        <v>45352</v>
      </c>
    </row>
    <row r="781" spans="1:8" hidden="1" x14ac:dyDescent="0.45">
      <c r="A781">
        <v>779</v>
      </c>
      <c r="B781" t="s">
        <v>8</v>
      </c>
      <c r="C781" s="3">
        <v>240154.78067818299</v>
      </c>
      <c r="D781" s="3">
        <v>917231.5</v>
      </c>
      <c r="E781" s="3">
        <v>94361.077915550006</v>
      </c>
      <c r="F781" s="3">
        <v>408113.37743495998</v>
      </c>
      <c r="G781" s="1">
        <v>44773</v>
      </c>
      <c r="H781" s="2">
        <v>45383</v>
      </c>
    </row>
    <row r="782" spans="1:8" hidden="1" x14ac:dyDescent="0.45">
      <c r="A782">
        <v>780</v>
      </c>
      <c r="B782" t="s">
        <v>8</v>
      </c>
      <c r="C782" s="3">
        <v>451127.22307807702</v>
      </c>
      <c r="D782" s="3">
        <v>491568.51</v>
      </c>
      <c r="E782" s="3">
        <v>212967.54621105999</v>
      </c>
      <c r="F782" s="3">
        <v>719295.25307177403</v>
      </c>
      <c r="G782" s="1">
        <v>44773</v>
      </c>
      <c r="H782" s="2">
        <v>45413</v>
      </c>
    </row>
    <row r="783" spans="1:8" hidden="1" x14ac:dyDescent="0.45">
      <c r="A783">
        <v>781</v>
      </c>
      <c r="B783" t="s">
        <v>8</v>
      </c>
      <c r="C783" s="3">
        <v>823201.79334375402</v>
      </c>
      <c r="D783" s="3">
        <v>523824.12</v>
      </c>
      <c r="E783" s="3">
        <v>466849.43077739701</v>
      </c>
      <c r="F783" s="3">
        <v>1191320.27719193</v>
      </c>
      <c r="G783" s="1">
        <v>44773</v>
      </c>
      <c r="H783" s="2">
        <v>45444</v>
      </c>
    </row>
    <row r="784" spans="1:8" hidden="1" x14ac:dyDescent="0.45">
      <c r="A784">
        <v>782</v>
      </c>
      <c r="B784" t="s">
        <v>8</v>
      </c>
      <c r="C784" s="3">
        <v>829380.82460831397</v>
      </c>
      <c r="D784" s="3">
        <v>570921.41999999899</v>
      </c>
      <c r="E784" s="3">
        <v>475064.54975767998</v>
      </c>
      <c r="F784" s="3">
        <v>1195786.3795793799</v>
      </c>
      <c r="G784" s="1">
        <v>44773</v>
      </c>
      <c r="H784" s="2">
        <v>45474</v>
      </c>
    </row>
    <row r="785" spans="1:8" hidden="1" x14ac:dyDescent="0.45">
      <c r="A785">
        <v>783</v>
      </c>
      <c r="B785" t="s">
        <v>8</v>
      </c>
      <c r="C785" s="3">
        <v>645739.37734075298</v>
      </c>
      <c r="D785" s="3">
        <v>526167.27999999898</v>
      </c>
      <c r="E785" s="3">
        <v>277765.09834811097</v>
      </c>
      <c r="F785" s="3">
        <v>1054567.58132564</v>
      </c>
      <c r="G785" s="1">
        <v>44773</v>
      </c>
      <c r="H785" s="2">
        <v>45505</v>
      </c>
    </row>
    <row r="786" spans="1:8" hidden="1" x14ac:dyDescent="0.45">
      <c r="A786">
        <v>784</v>
      </c>
      <c r="B786" t="s">
        <v>8</v>
      </c>
      <c r="C786" s="3">
        <v>986677.99234626198</v>
      </c>
      <c r="D786" s="3">
        <v>974331.59</v>
      </c>
      <c r="E786" s="3">
        <v>476036.79679959</v>
      </c>
      <c r="F786" s="3">
        <v>1568148.86913634</v>
      </c>
      <c r="G786" s="1">
        <v>44773</v>
      </c>
      <c r="H786" s="2">
        <v>45536</v>
      </c>
    </row>
    <row r="787" spans="1:8" hidden="1" x14ac:dyDescent="0.45">
      <c r="A787">
        <v>785</v>
      </c>
      <c r="B787" t="s">
        <v>8</v>
      </c>
      <c r="C787" s="3">
        <v>590536.280233428</v>
      </c>
      <c r="D787" s="3">
        <v>397623.18</v>
      </c>
      <c r="E787" s="3">
        <v>283034.77796604001</v>
      </c>
      <c r="F787" s="3">
        <v>931561.84942725499</v>
      </c>
      <c r="G787" s="1">
        <v>44773</v>
      </c>
      <c r="H787" s="2">
        <v>45566</v>
      </c>
    </row>
    <row r="788" spans="1:8" hidden="1" x14ac:dyDescent="0.45">
      <c r="A788">
        <v>786</v>
      </c>
      <c r="B788" t="s">
        <v>8</v>
      </c>
      <c r="C788" s="3">
        <v>1670680.70630239</v>
      </c>
      <c r="D788" s="3"/>
      <c r="E788" s="3">
        <v>944101.05872442701</v>
      </c>
      <c r="F788" s="3">
        <v>2460616.5708292001</v>
      </c>
      <c r="G788" s="1">
        <v>44773</v>
      </c>
      <c r="H788" s="2">
        <v>45597</v>
      </c>
    </row>
    <row r="789" spans="1:8" hidden="1" x14ac:dyDescent="0.45">
      <c r="A789">
        <v>787</v>
      </c>
      <c r="B789" t="s">
        <v>8</v>
      </c>
      <c r="C789" s="3">
        <v>314599.50356549397</v>
      </c>
      <c r="D789" s="3"/>
      <c r="E789" s="3">
        <v>124474.74901530601</v>
      </c>
      <c r="F789" s="3">
        <v>536589.30683398596</v>
      </c>
      <c r="G789" s="1">
        <v>44773</v>
      </c>
      <c r="H789" s="2">
        <v>45627</v>
      </c>
    </row>
    <row r="790" spans="1:8" hidden="1" x14ac:dyDescent="0.45">
      <c r="A790">
        <v>788</v>
      </c>
      <c r="B790" t="s">
        <v>8</v>
      </c>
      <c r="C790" s="3">
        <v>719743.67434847902</v>
      </c>
      <c r="D790" s="3"/>
      <c r="E790" s="3">
        <v>356514.22172081901</v>
      </c>
      <c r="F790" s="3">
        <v>1129642.39359637</v>
      </c>
      <c r="G790" s="1">
        <v>44773</v>
      </c>
      <c r="H790" s="2">
        <v>45658</v>
      </c>
    </row>
    <row r="791" spans="1:8" hidden="1" x14ac:dyDescent="0.45">
      <c r="A791">
        <v>789</v>
      </c>
      <c r="B791" t="s">
        <v>8</v>
      </c>
      <c r="C791" s="3">
        <v>573946.99284819502</v>
      </c>
      <c r="D791" s="3"/>
      <c r="E791" s="3">
        <v>283127.27999678103</v>
      </c>
      <c r="F791" s="3">
        <v>906490.11818510597</v>
      </c>
      <c r="G791" s="1">
        <v>44773</v>
      </c>
      <c r="H791" s="2">
        <v>45689</v>
      </c>
    </row>
    <row r="792" spans="1:8" hidden="1" x14ac:dyDescent="0.45">
      <c r="A792">
        <v>790</v>
      </c>
      <c r="B792" t="s">
        <v>8</v>
      </c>
      <c r="C792" s="3">
        <v>1350365.1077121799</v>
      </c>
      <c r="D792" s="3"/>
      <c r="E792" s="3">
        <v>812071.71831833594</v>
      </c>
      <c r="F792" s="3">
        <v>1917092.5663570201</v>
      </c>
      <c r="G792" s="1">
        <v>44773</v>
      </c>
      <c r="H792" s="2">
        <v>45717</v>
      </c>
    </row>
    <row r="793" spans="1:8" hidden="1" x14ac:dyDescent="0.45">
      <c r="A793">
        <v>791</v>
      </c>
      <c r="B793" t="s">
        <v>8</v>
      </c>
      <c r="C793" s="3">
        <v>201240.77245220001</v>
      </c>
      <c r="D793" s="3"/>
      <c r="E793" s="3">
        <v>78852.0843001147</v>
      </c>
      <c r="F793" s="3">
        <v>343910.61986665399</v>
      </c>
      <c r="G793" s="1">
        <v>44773</v>
      </c>
      <c r="H793" s="2">
        <v>45748</v>
      </c>
    </row>
    <row r="794" spans="1:8" hidden="1" x14ac:dyDescent="0.45">
      <c r="A794">
        <v>792</v>
      </c>
      <c r="B794" t="s">
        <v>8</v>
      </c>
      <c r="C794" s="3">
        <v>378534.18136467802</v>
      </c>
      <c r="D794" s="3"/>
      <c r="E794" s="3">
        <v>175532.37934141501</v>
      </c>
      <c r="F794" s="3">
        <v>601293.43994335504</v>
      </c>
      <c r="G794" s="1">
        <v>44773</v>
      </c>
      <c r="H794" s="2">
        <v>45778</v>
      </c>
    </row>
    <row r="795" spans="1:8" hidden="1" x14ac:dyDescent="0.45">
      <c r="A795">
        <v>793</v>
      </c>
      <c r="B795" t="s">
        <v>8</v>
      </c>
      <c r="C795" s="3">
        <v>696166.72669299704</v>
      </c>
      <c r="D795" s="3"/>
      <c r="E795" s="3">
        <v>394348.10633166903</v>
      </c>
      <c r="F795" s="3">
        <v>1006166.1720899499</v>
      </c>
      <c r="G795" s="1">
        <v>44773</v>
      </c>
      <c r="H795" s="2">
        <v>45809</v>
      </c>
    </row>
    <row r="796" spans="1:8" hidden="1" x14ac:dyDescent="0.45">
      <c r="A796">
        <v>794</v>
      </c>
      <c r="B796" t="s">
        <v>8</v>
      </c>
      <c r="C796" s="3">
        <v>701398.89205437002</v>
      </c>
      <c r="D796" s="3"/>
      <c r="E796" s="3">
        <v>403610.43556672003</v>
      </c>
      <c r="F796" s="3">
        <v>1016273.3836793</v>
      </c>
      <c r="G796" s="1">
        <v>44773</v>
      </c>
      <c r="H796" s="2">
        <v>45839</v>
      </c>
    </row>
    <row r="797" spans="1:8" hidden="1" x14ac:dyDescent="0.45">
      <c r="A797">
        <v>795</v>
      </c>
      <c r="B797" t="s">
        <v>8</v>
      </c>
      <c r="C797" s="3">
        <v>542228.78222085501</v>
      </c>
      <c r="D797" s="3"/>
      <c r="E797" s="3">
        <v>230529.35353487401</v>
      </c>
      <c r="F797" s="3">
        <v>880664.37480686803</v>
      </c>
      <c r="G797" s="1">
        <v>44773</v>
      </c>
      <c r="H797" s="2">
        <v>45870</v>
      </c>
    </row>
    <row r="798" spans="1:8" hidden="1" x14ac:dyDescent="0.45">
      <c r="A798">
        <v>796</v>
      </c>
      <c r="B798" t="s">
        <v>8</v>
      </c>
      <c r="C798" s="3">
        <v>828748.152925606</v>
      </c>
      <c r="D798" s="3"/>
      <c r="E798" s="3">
        <v>395606.74178611703</v>
      </c>
      <c r="F798" s="3">
        <v>1305292.8888387501</v>
      </c>
      <c r="G798" s="1">
        <v>44773</v>
      </c>
      <c r="H798" s="2">
        <v>45901</v>
      </c>
    </row>
    <row r="799" spans="1:8" hidden="1" x14ac:dyDescent="0.45">
      <c r="A799">
        <v>797</v>
      </c>
      <c r="B799" t="s">
        <v>8</v>
      </c>
      <c r="C799" s="3">
        <v>496158.65272096801</v>
      </c>
      <c r="D799" s="3"/>
      <c r="E799" s="3">
        <v>238279.708322277</v>
      </c>
      <c r="F799" s="3">
        <v>778326.82914277597</v>
      </c>
      <c r="G799" s="1">
        <v>44773</v>
      </c>
      <c r="H799" s="2">
        <v>45931</v>
      </c>
    </row>
    <row r="800" spans="1:8" hidden="1" x14ac:dyDescent="0.45">
      <c r="A800">
        <v>798</v>
      </c>
      <c r="B800" t="s">
        <v>7</v>
      </c>
      <c r="C800" s="3">
        <v>146268.295275638</v>
      </c>
      <c r="D800" s="3">
        <v>28250.62</v>
      </c>
      <c r="E800" s="3">
        <v>80137.025241638999</v>
      </c>
      <c r="F800" s="3">
        <v>216743.07699130199</v>
      </c>
      <c r="G800" s="1">
        <v>44804</v>
      </c>
      <c r="H800" s="2">
        <v>44228</v>
      </c>
    </row>
    <row r="801" spans="1:8" hidden="1" x14ac:dyDescent="0.45">
      <c r="A801">
        <v>799</v>
      </c>
      <c r="B801" t="s">
        <v>7</v>
      </c>
      <c r="C801" s="3">
        <v>367210.00777280203</v>
      </c>
      <c r="D801" s="3">
        <v>36247.919999999998</v>
      </c>
      <c r="E801" s="3">
        <v>235922.91915229199</v>
      </c>
      <c r="F801" s="3">
        <v>501417.88556282298</v>
      </c>
      <c r="G801" s="1">
        <v>44804</v>
      </c>
      <c r="H801" s="2">
        <v>44256</v>
      </c>
    </row>
    <row r="802" spans="1:8" hidden="1" x14ac:dyDescent="0.45">
      <c r="A802">
        <v>800</v>
      </c>
      <c r="B802" t="s">
        <v>7</v>
      </c>
      <c r="C802" s="3">
        <v>88299.7522821444</v>
      </c>
      <c r="D802" s="3">
        <v>14721.48</v>
      </c>
      <c r="E802" s="3">
        <v>38163.321785899803</v>
      </c>
      <c r="F802" s="3">
        <v>142178.823148917</v>
      </c>
      <c r="G802" s="1">
        <v>44804</v>
      </c>
      <c r="H802" s="2">
        <v>44287</v>
      </c>
    </row>
    <row r="803" spans="1:8" hidden="1" x14ac:dyDescent="0.45">
      <c r="A803">
        <v>801</v>
      </c>
      <c r="B803" t="s">
        <v>7</v>
      </c>
      <c r="C803" s="3">
        <v>182526.14162459999</v>
      </c>
      <c r="D803" s="3">
        <v>94346.71</v>
      </c>
      <c r="E803" s="3">
        <v>100743.671884335</v>
      </c>
      <c r="F803" s="3">
        <v>274334.74059006601</v>
      </c>
      <c r="G803" s="1">
        <v>44804</v>
      </c>
      <c r="H803" s="2">
        <v>44317</v>
      </c>
    </row>
    <row r="804" spans="1:8" hidden="1" x14ac:dyDescent="0.45">
      <c r="A804">
        <v>802</v>
      </c>
      <c r="B804" t="s">
        <v>7</v>
      </c>
      <c r="C804" s="3">
        <v>510103.60778912198</v>
      </c>
      <c r="D804" s="3">
        <v>970740.72</v>
      </c>
      <c r="E804" s="3">
        <v>329101.95822195598</v>
      </c>
      <c r="F804" s="3">
        <v>708878.652464404</v>
      </c>
      <c r="G804" s="1">
        <v>44804</v>
      </c>
      <c r="H804" s="2">
        <v>44348</v>
      </c>
    </row>
    <row r="805" spans="1:8" hidden="1" x14ac:dyDescent="0.45">
      <c r="A805">
        <v>803</v>
      </c>
      <c r="B805" t="s">
        <v>7</v>
      </c>
      <c r="C805" s="3">
        <v>1116359.6246010601</v>
      </c>
      <c r="D805" s="3">
        <v>1798271.24</v>
      </c>
      <c r="E805" s="3">
        <v>769409.49005762802</v>
      </c>
      <c r="F805" s="3">
        <v>1489433.2080367701</v>
      </c>
      <c r="G805" s="1">
        <v>44804</v>
      </c>
      <c r="H805" s="2">
        <v>44378</v>
      </c>
    </row>
    <row r="806" spans="1:8" hidden="1" x14ac:dyDescent="0.45">
      <c r="A806">
        <v>804</v>
      </c>
      <c r="B806" t="s">
        <v>7</v>
      </c>
      <c r="C806" s="3">
        <v>993729.86559153302</v>
      </c>
      <c r="D806" s="3">
        <v>700449.31</v>
      </c>
      <c r="E806" s="3">
        <v>650571.59288906003</v>
      </c>
      <c r="F806" s="3">
        <v>1358670.796662</v>
      </c>
      <c r="G806" s="1">
        <v>44804</v>
      </c>
      <c r="H806" s="2">
        <v>44409</v>
      </c>
    </row>
    <row r="807" spans="1:8" hidden="1" x14ac:dyDescent="0.45">
      <c r="A807">
        <v>805</v>
      </c>
      <c r="B807" t="s">
        <v>7</v>
      </c>
      <c r="C807" s="3">
        <v>1382616.35978055</v>
      </c>
      <c r="D807" s="3">
        <v>1784906.52</v>
      </c>
      <c r="E807" s="3">
        <v>925148.39617509395</v>
      </c>
      <c r="F807" s="3">
        <v>1866551.7236818799</v>
      </c>
      <c r="G807" s="1">
        <v>44804</v>
      </c>
      <c r="H807" s="2">
        <v>44440</v>
      </c>
    </row>
    <row r="808" spans="1:8" hidden="1" x14ac:dyDescent="0.45">
      <c r="A808">
        <v>806</v>
      </c>
      <c r="B808" t="s">
        <v>7</v>
      </c>
      <c r="C808" s="3">
        <v>925945.57777083898</v>
      </c>
      <c r="D808" s="3">
        <v>706422.77</v>
      </c>
      <c r="E808" s="3">
        <v>557157.88574077003</v>
      </c>
      <c r="F808" s="3">
        <v>1342888.3520647199</v>
      </c>
      <c r="G808" s="1">
        <v>44804</v>
      </c>
      <c r="H808" s="2">
        <v>44470</v>
      </c>
    </row>
    <row r="809" spans="1:8" hidden="1" x14ac:dyDescent="0.45">
      <c r="A809">
        <v>807</v>
      </c>
      <c r="B809" t="s">
        <v>7</v>
      </c>
      <c r="C809" s="3">
        <v>2545841.2521764399</v>
      </c>
      <c r="D809" s="3">
        <v>3115611.92</v>
      </c>
      <c r="E809" s="3">
        <v>1863479.06784481</v>
      </c>
      <c r="F809" s="3">
        <v>3243993.65172497</v>
      </c>
      <c r="G809" s="1">
        <v>44804</v>
      </c>
      <c r="H809" s="2">
        <v>44501</v>
      </c>
    </row>
    <row r="810" spans="1:8" hidden="1" x14ac:dyDescent="0.45">
      <c r="A810">
        <v>808</v>
      </c>
      <c r="B810" t="s">
        <v>7</v>
      </c>
      <c r="C810" s="3">
        <v>598538.50186084001</v>
      </c>
      <c r="D810" s="3">
        <v>227049.91</v>
      </c>
      <c r="E810" s="3">
        <v>295758.75547493901</v>
      </c>
      <c r="F810" s="3">
        <v>927802.56993525405</v>
      </c>
      <c r="G810" s="1">
        <v>44804</v>
      </c>
      <c r="H810" s="2">
        <v>44531</v>
      </c>
    </row>
    <row r="811" spans="1:8" hidden="1" x14ac:dyDescent="0.45">
      <c r="A811">
        <v>809</v>
      </c>
      <c r="B811" t="s">
        <v>7</v>
      </c>
      <c r="C811" s="3">
        <v>1277008.01894705</v>
      </c>
      <c r="D811" s="3">
        <v>1231496.1499999999</v>
      </c>
      <c r="E811" s="3">
        <v>792737.13014198397</v>
      </c>
      <c r="F811" s="3">
        <v>1794118.4750113599</v>
      </c>
      <c r="G811" s="1">
        <v>44804</v>
      </c>
      <c r="H811" s="2">
        <v>44562</v>
      </c>
    </row>
    <row r="812" spans="1:8" hidden="1" x14ac:dyDescent="0.45">
      <c r="A812">
        <v>810</v>
      </c>
      <c r="B812" t="s">
        <v>7</v>
      </c>
      <c r="C812" s="3">
        <v>1010125.69259167</v>
      </c>
      <c r="D812" s="3">
        <v>1031231.86</v>
      </c>
      <c r="E812" s="3">
        <v>598349.53864062403</v>
      </c>
      <c r="F812" s="3">
        <v>1460971.3624192099</v>
      </c>
      <c r="G812" s="1">
        <v>44804</v>
      </c>
      <c r="H812" s="2">
        <v>44593</v>
      </c>
    </row>
    <row r="813" spans="1:8" hidden="1" x14ac:dyDescent="0.45">
      <c r="A813">
        <v>811</v>
      </c>
      <c r="B813" t="s">
        <v>7</v>
      </c>
      <c r="C813" s="3">
        <v>2498688.92607691</v>
      </c>
      <c r="D813" s="3">
        <v>2866780.02</v>
      </c>
      <c r="E813" s="3">
        <v>1760625.5006307701</v>
      </c>
      <c r="F813" s="3">
        <v>3289544.3977107098</v>
      </c>
      <c r="G813" s="1">
        <v>44804</v>
      </c>
      <c r="H813" s="2">
        <v>44621</v>
      </c>
    </row>
    <row r="814" spans="1:8" hidden="1" x14ac:dyDescent="0.45">
      <c r="A814">
        <v>812</v>
      </c>
      <c r="B814" t="s">
        <v>7</v>
      </c>
      <c r="C814" s="3">
        <v>436964.79509571398</v>
      </c>
      <c r="D814" s="3">
        <v>106305.83</v>
      </c>
      <c r="E814" s="3">
        <v>213743.39068770601</v>
      </c>
      <c r="F814" s="3">
        <v>701119.49050806696</v>
      </c>
      <c r="G814" s="1">
        <v>44804</v>
      </c>
      <c r="H814" s="2">
        <v>44652</v>
      </c>
    </row>
    <row r="815" spans="1:8" hidden="1" x14ac:dyDescent="0.45">
      <c r="A815">
        <v>813</v>
      </c>
      <c r="B815" t="s">
        <v>7</v>
      </c>
      <c r="C815" s="3">
        <v>773034.75490609102</v>
      </c>
      <c r="D815" s="3">
        <v>667164.73</v>
      </c>
      <c r="E815" s="3">
        <v>436087.74705521599</v>
      </c>
      <c r="F815" s="3">
        <v>1141027.4847082701</v>
      </c>
      <c r="G815" s="1">
        <v>44804</v>
      </c>
      <c r="H815" s="2">
        <v>44682</v>
      </c>
    </row>
    <row r="816" spans="1:8" hidden="1" x14ac:dyDescent="0.45">
      <c r="A816">
        <v>814</v>
      </c>
      <c r="B816" t="s">
        <v>7</v>
      </c>
      <c r="C816" s="3">
        <v>1333107.83631679</v>
      </c>
      <c r="D816" s="3">
        <v>1398761.09</v>
      </c>
      <c r="E816" s="3">
        <v>857254.92792436597</v>
      </c>
      <c r="F816" s="3">
        <v>1835864.9604512099</v>
      </c>
      <c r="G816" s="1">
        <v>44804</v>
      </c>
      <c r="H816" s="2">
        <v>44713</v>
      </c>
    </row>
    <row r="817" spans="1:8" hidden="1" x14ac:dyDescent="0.45">
      <c r="A817">
        <v>815</v>
      </c>
      <c r="B817" t="s">
        <v>7</v>
      </c>
      <c r="C817" s="3">
        <v>1402214.2624512401</v>
      </c>
      <c r="D817" s="3">
        <v>931475.54</v>
      </c>
      <c r="E817" s="3">
        <v>881515.75539862004</v>
      </c>
      <c r="F817" s="3">
        <v>1950551.56062366</v>
      </c>
      <c r="G817" s="1">
        <v>44804</v>
      </c>
      <c r="H817" s="2">
        <v>44743</v>
      </c>
    </row>
    <row r="818" spans="1:8" hidden="1" x14ac:dyDescent="0.45">
      <c r="A818">
        <v>816</v>
      </c>
      <c r="B818" t="s">
        <v>7</v>
      </c>
      <c r="C818" s="3">
        <v>1289637.87557786</v>
      </c>
      <c r="D818" s="3">
        <v>1335916.6499999999</v>
      </c>
      <c r="E818" s="3">
        <v>828782.09385422105</v>
      </c>
      <c r="F818" s="3">
        <v>1778874.36114682</v>
      </c>
      <c r="G818" s="1">
        <v>44804</v>
      </c>
      <c r="H818" s="2">
        <v>44774</v>
      </c>
    </row>
    <row r="819" spans="1:8" hidden="1" x14ac:dyDescent="0.45">
      <c r="A819">
        <v>817</v>
      </c>
      <c r="B819" t="s">
        <v>8</v>
      </c>
      <c r="C819" s="3">
        <v>1659887.8102576199</v>
      </c>
      <c r="D819" s="3">
        <v>926648.98</v>
      </c>
      <c r="E819" s="3">
        <v>896240.75349609298</v>
      </c>
      <c r="F819" s="3">
        <v>2510711.9216892701</v>
      </c>
      <c r="G819" s="1">
        <v>44804</v>
      </c>
      <c r="H819" s="2">
        <v>44805</v>
      </c>
    </row>
    <row r="820" spans="1:8" hidden="1" x14ac:dyDescent="0.45">
      <c r="A820">
        <v>818</v>
      </c>
      <c r="B820" t="s">
        <v>8</v>
      </c>
      <c r="C820" s="3">
        <v>1023446.3192203999</v>
      </c>
      <c r="D820" s="3">
        <v>892468.19</v>
      </c>
      <c r="E820" s="3">
        <v>528466.22517685895</v>
      </c>
      <c r="F820" s="3">
        <v>1588494.7345346799</v>
      </c>
      <c r="G820" s="1">
        <v>44804</v>
      </c>
      <c r="H820" s="2">
        <v>44835</v>
      </c>
    </row>
    <row r="821" spans="1:8" hidden="1" x14ac:dyDescent="0.45">
      <c r="A821">
        <v>819</v>
      </c>
      <c r="B821" t="s">
        <v>8</v>
      </c>
      <c r="C821" s="3">
        <v>2779752.1849389598</v>
      </c>
      <c r="D821" s="3">
        <v>1808251.3</v>
      </c>
      <c r="E821" s="3">
        <v>1725604.43509848</v>
      </c>
      <c r="F821" s="3">
        <v>3878231.9403866399</v>
      </c>
      <c r="G821" s="1">
        <v>44804</v>
      </c>
      <c r="H821" s="2">
        <v>44866</v>
      </c>
    </row>
    <row r="822" spans="1:8" hidden="1" x14ac:dyDescent="0.45">
      <c r="A822">
        <v>820</v>
      </c>
      <c r="B822" t="s">
        <v>8</v>
      </c>
      <c r="C822" s="3">
        <v>529139.57681442297</v>
      </c>
      <c r="D822" s="3">
        <v>308558.74</v>
      </c>
      <c r="E822" s="3">
        <v>239732.023483244</v>
      </c>
      <c r="F822" s="3">
        <v>868613.52080930595</v>
      </c>
      <c r="G822" s="1">
        <v>44804</v>
      </c>
      <c r="H822" s="2">
        <v>44896</v>
      </c>
    </row>
    <row r="823" spans="1:8" hidden="1" x14ac:dyDescent="0.45">
      <c r="A823">
        <v>821</v>
      </c>
      <c r="B823" t="s">
        <v>8</v>
      </c>
      <c r="C823" s="3">
        <v>1155137.21480955</v>
      </c>
      <c r="D823" s="3">
        <v>942497.93</v>
      </c>
      <c r="E823" s="3">
        <v>636952.04556681495</v>
      </c>
      <c r="F823" s="3">
        <v>1743418.37970167</v>
      </c>
      <c r="G823" s="1">
        <v>44804</v>
      </c>
      <c r="H823" s="2">
        <v>44927</v>
      </c>
    </row>
    <row r="824" spans="1:8" hidden="1" x14ac:dyDescent="0.45">
      <c r="A824">
        <v>822</v>
      </c>
      <c r="B824" t="s">
        <v>8</v>
      </c>
      <c r="C824" s="3">
        <v>919186.78918349999</v>
      </c>
      <c r="D824" s="3">
        <v>857445.45</v>
      </c>
      <c r="E824" s="3">
        <v>469065.09948589897</v>
      </c>
      <c r="F824" s="3">
        <v>1393441.7052537501</v>
      </c>
      <c r="G824" s="1">
        <v>44804</v>
      </c>
      <c r="H824" s="2">
        <v>44958</v>
      </c>
    </row>
    <row r="825" spans="1:8" hidden="1" x14ac:dyDescent="0.45">
      <c r="A825">
        <v>823</v>
      </c>
      <c r="B825" t="s">
        <v>8</v>
      </c>
      <c r="C825" s="3">
        <v>2161166.2254850101</v>
      </c>
      <c r="D825" s="3">
        <v>518157.8</v>
      </c>
      <c r="E825" s="3">
        <v>1334718.3898287299</v>
      </c>
      <c r="F825" s="3">
        <v>3009851.9812760898</v>
      </c>
      <c r="G825" s="1">
        <v>44804</v>
      </c>
      <c r="H825" s="2">
        <v>44986</v>
      </c>
    </row>
    <row r="826" spans="1:8" hidden="1" x14ac:dyDescent="0.45">
      <c r="A826">
        <v>824</v>
      </c>
      <c r="B826" t="s">
        <v>8</v>
      </c>
      <c r="C826" s="3">
        <v>329433.11631517397</v>
      </c>
      <c r="D826" s="3">
        <v>898800.37</v>
      </c>
      <c r="E826" s="3">
        <v>147304.332976865</v>
      </c>
      <c r="F826" s="3">
        <v>532244.64783834503</v>
      </c>
      <c r="G826" s="1">
        <v>44804</v>
      </c>
      <c r="H826" s="2">
        <v>45017</v>
      </c>
    </row>
    <row r="827" spans="1:8" hidden="1" x14ac:dyDescent="0.45">
      <c r="A827">
        <v>825</v>
      </c>
      <c r="B827" t="s">
        <v>8</v>
      </c>
      <c r="C827" s="3">
        <v>594260.816201068</v>
      </c>
      <c r="D827" s="3">
        <v>904062.48</v>
      </c>
      <c r="E827" s="3">
        <v>318551.40280707099</v>
      </c>
      <c r="F827" s="3">
        <v>910936.16244918504</v>
      </c>
      <c r="G827" s="1">
        <v>44804</v>
      </c>
      <c r="H827" s="2">
        <v>45047</v>
      </c>
    </row>
    <row r="828" spans="1:8" hidden="1" x14ac:dyDescent="0.45">
      <c r="A828">
        <v>826</v>
      </c>
      <c r="B828" t="s">
        <v>8</v>
      </c>
      <c r="C828" s="3">
        <v>1038600.6473825</v>
      </c>
      <c r="D828" s="3">
        <v>779872.13</v>
      </c>
      <c r="E828" s="3">
        <v>626558.00679037801</v>
      </c>
      <c r="F828" s="3">
        <v>1463601.3584656699</v>
      </c>
      <c r="G828" s="1">
        <v>44804</v>
      </c>
      <c r="H828" s="2">
        <v>45078</v>
      </c>
    </row>
    <row r="829" spans="1:8" hidden="1" x14ac:dyDescent="0.45">
      <c r="A829">
        <v>827</v>
      </c>
      <c r="B829" t="s">
        <v>8</v>
      </c>
      <c r="C829" s="3">
        <v>1018444.4785531</v>
      </c>
      <c r="D829" s="3">
        <v>804722.12</v>
      </c>
      <c r="E829" s="3">
        <v>614664.35716670996</v>
      </c>
      <c r="F829" s="3">
        <v>1458995.02981798</v>
      </c>
      <c r="G829" s="1">
        <v>44804</v>
      </c>
      <c r="H829" s="2">
        <v>45108</v>
      </c>
    </row>
    <row r="830" spans="1:8" hidden="1" x14ac:dyDescent="0.45">
      <c r="A830">
        <v>828</v>
      </c>
      <c r="B830" t="s">
        <v>8</v>
      </c>
      <c r="C830" s="3">
        <v>1003155.2924584399</v>
      </c>
      <c r="D830" s="3">
        <v>835024.47</v>
      </c>
      <c r="E830" s="3">
        <v>629633.60501917405</v>
      </c>
      <c r="F830" s="3">
        <v>1402625.1806886101</v>
      </c>
      <c r="G830" s="1">
        <v>44804</v>
      </c>
      <c r="H830" s="2">
        <v>45139</v>
      </c>
    </row>
    <row r="831" spans="1:8" hidden="1" x14ac:dyDescent="0.45">
      <c r="A831">
        <v>829</v>
      </c>
      <c r="B831" t="s">
        <v>8</v>
      </c>
      <c r="C831" s="3">
        <v>1281580.3494926</v>
      </c>
      <c r="D831" s="3">
        <v>892167.48</v>
      </c>
      <c r="E831" s="3">
        <v>654955.01611405204</v>
      </c>
      <c r="F831" s="3">
        <v>1949853.9143290501</v>
      </c>
      <c r="G831" s="1">
        <v>44804</v>
      </c>
      <c r="H831" s="2">
        <v>45170</v>
      </c>
    </row>
    <row r="832" spans="1:8" hidden="1" x14ac:dyDescent="0.45">
      <c r="A832">
        <v>830</v>
      </c>
      <c r="B832" t="s">
        <v>8</v>
      </c>
      <c r="C832" s="3">
        <v>798209.62627635698</v>
      </c>
      <c r="D832" s="3">
        <v>798759.76</v>
      </c>
      <c r="E832" s="3">
        <v>385364.04707974702</v>
      </c>
      <c r="F832" s="3">
        <v>1245798.5336213801</v>
      </c>
      <c r="G832" s="1">
        <v>44804</v>
      </c>
      <c r="H832" s="2">
        <v>45200</v>
      </c>
    </row>
    <row r="833" spans="1:8" hidden="1" x14ac:dyDescent="0.45">
      <c r="A833">
        <v>831</v>
      </c>
      <c r="B833" t="s">
        <v>8</v>
      </c>
      <c r="C833" s="3">
        <v>2146638.2198641901</v>
      </c>
      <c r="D833" s="3">
        <v>1322486.1599999999</v>
      </c>
      <c r="E833" s="3">
        <v>1323728.369525</v>
      </c>
      <c r="F833" s="3">
        <v>3013552.78311839</v>
      </c>
      <c r="G833" s="1">
        <v>44804</v>
      </c>
      <c r="H833" s="2">
        <v>45231</v>
      </c>
    </row>
    <row r="834" spans="1:8" hidden="1" x14ac:dyDescent="0.45">
      <c r="A834">
        <v>832</v>
      </c>
      <c r="B834" t="s">
        <v>8</v>
      </c>
      <c r="C834" s="3">
        <v>419472.52050185</v>
      </c>
      <c r="D834" s="3">
        <v>569568.63999999897</v>
      </c>
      <c r="E834" s="3">
        <v>188787.11611860601</v>
      </c>
      <c r="F834" s="3">
        <v>692376.27827391203</v>
      </c>
      <c r="G834" s="1">
        <v>44804</v>
      </c>
      <c r="H834" s="2">
        <v>45261</v>
      </c>
    </row>
    <row r="835" spans="1:8" hidden="1" x14ac:dyDescent="0.45">
      <c r="A835">
        <v>833</v>
      </c>
      <c r="B835" t="s">
        <v>8</v>
      </c>
      <c r="C835" s="3">
        <v>912385.04125124402</v>
      </c>
      <c r="D835" s="3">
        <v>904025.2</v>
      </c>
      <c r="E835" s="3">
        <v>504106.00059164898</v>
      </c>
      <c r="F835" s="3">
        <v>1383916.13290426</v>
      </c>
      <c r="G835" s="1">
        <v>44804</v>
      </c>
      <c r="H835" s="2">
        <v>45292</v>
      </c>
    </row>
    <row r="836" spans="1:8" hidden="1" x14ac:dyDescent="0.45">
      <c r="A836">
        <v>834</v>
      </c>
      <c r="B836" t="s">
        <v>8</v>
      </c>
      <c r="C836" s="3">
        <v>726283.66680721997</v>
      </c>
      <c r="D836" s="3">
        <v>597936.88</v>
      </c>
      <c r="E836" s="3">
        <v>379017.16192209499</v>
      </c>
      <c r="F836" s="3">
        <v>1118266.6962472601</v>
      </c>
      <c r="G836" s="1">
        <v>44804</v>
      </c>
      <c r="H836" s="2">
        <v>45323</v>
      </c>
    </row>
    <row r="837" spans="1:8" hidden="1" x14ac:dyDescent="0.45">
      <c r="A837">
        <v>835</v>
      </c>
      <c r="B837" t="s">
        <v>8</v>
      </c>
      <c r="C837" s="3">
        <v>1675828.5654406401</v>
      </c>
      <c r="D837" s="3">
        <v>602475.18999999994</v>
      </c>
      <c r="E837" s="3">
        <v>1053685.6845086899</v>
      </c>
      <c r="F837" s="3">
        <v>2346432.6793643101</v>
      </c>
      <c r="G837" s="1">
        <v>44804</v>
      </c>
      <c r="H837" s="2">
        <v>45352</v>
      </c>
    </row>
    <row r="838" spans="1:8" hidden="1" x14ac:dyDescent="0.45">
      <c r="A838">
        <v>836</v>
      </c>
      <c r="B838" t="s">
        <v>8</v>
      </c>
      <c r="C838" s="3">
        <v>261344.071598034</v>
      </c>
      <c r="D838" s="3">
        <v>935829.99</v>
      </c>
      <c r="E838" s="3">
        <v>118712.500548713</v>
      </c>
      <c r="F838" s="3">
        <v>429127.76484770601</v>
      </c>
      <c r="G838" s="1">
        <v>44804</v>
      </c>
      <c r="H838" s="2">
        <v>45383</v>
      </c>
    </row>
    <row r="839" spans="1:8" hidden="1" x14ac:dyDescent="0.45">
      <c r="A839">
        <v>837</v>
      </c>
      <c r="B839" t="s">
        <v>8</v>
      </c>
      <c r="C839" s="3">
        <v>471182.14282640599</v>
      </c>
      <c r="D839" s="3">
        <v>500881.71</v>
      </c>
      <c r="E839" s="3">
        <v>245287.92503657701</v>
      </c>
      <c r="F839" s="3">
        <v>717240.67686618702</v>
      </c>
      <c r="G839" s="1">
        <v>44804</v>
      </c>
      <c r="H839" s="2">
        <v>45413</v>
      </c>
    </row>
    <row r="840" spans="1:8" hidden="1" x14ac:dyDescent="0.45">
      <c r="A840">
        <v>838</v>
      </c>
      <c r="B840" t="s">
        <v>8</v>
      </c>
      <c r="C840" s="3">
        <v>829433.384590014</v>
      </c>
      <c r="D840" s="3">
        <v>534259.66</v>
      </c>
      <c r="E840" s="3">
        <v>507163.80643246899</v>
      </c>
      <c r="F840" s="3">
        <v>1174559.4794856601</v>
      </c>
      <c r="G840" s="1">
        <v>44804</v>
      </c>
      <c r="H840" s="2">
        <v>45444</v>
      </c>
    </row>
    <row r="841" spans="1:8" hidden="1" x14ac:dyDescent="0.45">
      <c r="A841">
        <v>839</v>
      </c>
      <c r="B841" t="s">
        <v>8</v>
      </c>
      <c r="C841" s="3">
        <v>812759.23279469495</v>
      </c>
      <c r="D841" s="3">
        <v>583479.86999999895</v>
      </c>
      <c r="E841" s="3">
        <v>492321.20396393898</v>
      </c>
      <c r="F841" s="3">
        <v>1166793.6182742401</v>
      </c>
      <c r="G841" s="1">
        <v>44804</v>
      </c>
      <c r="H841" s="2">
        <v>45474</v>
      </c>
    </row>
    <row r="842" spans="1:8" hidden="1" x14ac:dyDescent="0.45">
      <c r="A842">
        <v>840</v>
      </c>
      <c r="B842" t="s">
        <v>8</v>
      </c>
      <c r="C842" s="3">
        <v>794630.313308849</v>
      </c>
      <c r="D842" s="3">
        <v>537786.91999999899</v>
      </c>
      <c r="E842" s="3">
        <v>491981.29840513802</v>
      </c>
      <c r="F842" s="3">
        <v>1105307.66751746</v>
      </c>
      <c r="G842" s="1">
        <v>44804</v>
      </c>
      <c r="H842" s="2">
        <v>45505</v>
      </c>
    </row>
    <row r="843" spans="1:8" hidden="1" x14ac:dyDescent="0.45">
      <c r="A843">
        <v>841</v>
      </c>
      <c r="B843" t="s">
        <v>8</v>
      </c>
      <c r="C843" s="3">
        <v>1014823.44506869</v>
      </c>
      <c r="D843" s="3">
        <v>991664.91</v>
      </c>
      <c r="E843" s="3">
        <v>518380.21825630101</v>
      </c>
      <c r="F843" s="3">
        <v>1536306.7469154799</v>
      </c>
      <c r="G843" s="1">
        <v>44804</v>
      </c>
      <c r="H843" s="2">
        <v>45536</v>
      </c>
    </row>
    <row r="844" spans="1:8" hidden="1" x14ac:dyDescent="0.45">
      <c r="A844">
        <v>842</v>
      </c>
      <c r="B844" t="s">
        <v>8</v>
      </c>
      <c r="C844" s="3">
        <v>632467.90798049502</v>
      </c>
      <c r="D844" s="3">
        <v>403429.87</v>
      </c>
      <c r="E844" s="3">
        <v>316370.466942275</v>
      </c>
      <c r="F844" s="3">
        <v>993484.04095936404</v>
      </c>
      <c r="G844" s="1">
        <v>44804</v>
      </c>
      <c r="H844" s="2">
        <v>45566</v>
      </c>
    </row>
    <row r="845" spans="1:8" hidden="1" x14ac:dyDescent="0.45">
      <c r="A845">
        <v>843</v>
      </c>
      <c r="B845" t="s">
        <v>8</v>
      </c>
      <c r="C845" s="3">
        <v>1696930.31764888</v>
      </c>
      <c r="D845" s="3"/>
      <c r="E845" s="3">
        <v>1053415.02443376</v>
      </c>
      <c r="F845" s="3">
        <v>2370861.9764521001</v>
      </c>
      <c r="G845" s="1">
        <v>44804</v>
      </c>
      <c r="H845" s="2">
        <v>45597</v>
      </c>
    </row>
    <row r="846" spans="1:8" hidden="1" x14ac:dyDescent="0.45">
      <c r="A846">
        <v>844</v>
      </c>
      <c r="B846" t="s">
        <v>8</v>
      </c>
      <c r="C846" s="3">
        <v>333586.30564578</v>
      </c>
      <c r="D846" s="3"/>
      <c r="E846" s="3">
        <v>151243.920962548</v>
      </c>
      <c r="F846" s="3">
        <v>550112.37623762898</v>
      </c>
      <c r="G846" s="1">
        <v>44804</v>
      </c>
      <c r="H846" s="2">
        <v>45627</v>
      </c>
    </row>
    <row r="847" spans="1:8" hidden="1" x14ac:dyDescent="0.45">
      <c r="A847">
        <v>845</v>
      </c>
      <c r="B847" t="s">
        <v>8</v>
      </c>
      <c r="C847" s="3">
        <v>726347.28074252803</v>
      </c>
      <c r="D847" s="3"/>
      <c r="E847" s="3">
        <v>405975.29314510903</v>
      </c>
      <c r="F847" s="3">
        <v>1100884.5360960199</v>
      </c>
      <c r="G847" s="1">
        <v>44804</v>
      </c>
      <c r="H847" s="2">
        <v>45658</v>
      </c>
    </row>
    <row r="848" spans="1:8" hidden="1" x14ac:dyDescent="0.45">
      <c r="A848">
        <v>846</v>
      </c>
      <c r="B848" t="s">
        <v>8</v>
      </c>
      <c r="C848" s="3">
        <v>577023.46817295195</v>
      </c>
      <c r="D848" s="3"/>
      <c r="E848" s="3">
        <v>294921.87527056999</v>
      </c>
      <c r="F848" s="3">
        <v>880623.72766134702</v>
      </c>
      <c r="G848" s="1">
        <v>44804</v>
      </c>
      <c r="H848" s="2">
        <v>45689</v>
      </c>
    </row>
    <row r="849" spans="1:8" hidden="1" x14ac:dyDescent="0.45">
      <c r="A849">
        <v>847</v>
      </c>
      <c r="B849" t="s">
        <v>8</v>
      </c>
      <c r="C849" s="3">
        <v>1319399.03103641</v>
      </c>
      <c r="D849" s="3"/>
      <c r="E849" s="3">
        <v>826805.31581055198</v>
      </c>
      <c r="F849" s="3">
        <v>1844685.60223649</v>
      </c>
      <c r="G849" s="1">
        <v>44804</v>
      </c>
      <c r="H849" s="2">
        <v>45717</v>
      </c>
    </row>
    <row r="850" spans="1:8" hidden="1" x14ac:dyDescent="0.45">
      <c r="A850">
        <v>848</v>
      </c>
      <c r="B850" t="s">
        <v>8</v>
      </c>
      <c r="C850" s="3">
        <v>209056.328237031</v>
      </c>
      <c r="D850" s="3"/>
      <c r="E850" s="3">
        <v>93305.378433112302</v>
      </c>
      <c r="F850" s="3">
        <v>341463.65646433801</v>
      </c>
      <c r="G850" s="1">
        <v>44804</v>
      </c>
      <c r="H850" s="2">
        <v>45748</v>
      </c>
    </row>
    <row r="851" spans="1:8" hidden="1" x14ac:dyDescent="0.45">
      <c r="A851">
        <v>849</v>
      </c>
      <c r="B851" t="s">
        <v>8</v>
      </c>
      <c r="C851" s="3">
        <v>377929.46100234502</v>
      </c>
      <c r="D851" s="3"/>
      <c r="E851" s="3">
        <v>200564.15823992001</v>
      </c>
      <c r="F851" s="3">
        <v>581566.72452669404</v>
      </c>
      <c r="G851" s="1">
        <v>44804</v>
      </c>
      <c r="H851" s="2">
        <v>45778</v>
      </c>
    </row>
    <row r="852" spans="1:8" hidden="1" x14ac:dyDescent="0.45">
      <c r="A852">
        <v>850</v>
      </c>
      <c r="B852" t="s">
        <v>8</v>
      </c>
      <c r="C852" s="3">
        <v>670006.13793339801</v>
      </c>
      <c r="D852" s="3"/>
      <c r="E852" s="3">
        <v>412093.61761377298</v>
      </c>
      <c r="F852" s="3">
        <v>950402.64192192198</v>
      </c>
      <c r="G852" s="1">
        <v>44804</v>
      </c>
      <c r="H852" s="2">
        <v>45809</v>
      </c>
    </row>
    <row r="853" spans="1:8" hidden="1" x14ac:dyDescent="0.45">
      <c r="A853">
        <v>851</v>
      </c>
      <c r="B853" t="s">
        <v>8</v>
      </c>
      <c r="C853" s="3">
        <v>656291.27322833496</v>
      </c>
      <c r="D853" s="3"/>
      <c r="E853" s="3">
        <v>392677.92907117802</v>
      </c>
      <c r="F853" s="3">
        <v>936976.30237969896</v>
      </c>
      <c r="G853" s="1">
        <v>44804</v>
      </c>
      <c r="H853" s="2">
        <v>45839</v>
      </c>
    </row>
    <row r="854" spans="1:8" hidden="1" x14ac:dyDescent="0.45">
      <c r="A854">
        <v>852</v>
      </c>
      <c r="B854" t="s">
        <v>8</v>
      </c>
      <c r="C854" s="3">
        <v>636372.13525717799</v>
      </c>
      <c r="D854" s="3"/>
      <c r="E854" s="3">
        <v>393054.463355657</v>
      </c>
      <c r="F854" s="3">
        <v>886254.49083451403</v>
      </c>
      <c r="G854" s="1">
        <v>44804</v>
      </c>
      <c r="H854" s="2">
        <v>45870</v>
      </c>
    </row>
    <row r="855" spans="1:8" hidden="1" x14ac:dyDescent="0.45">
      <c r="A855">
        <v>853</v>
      </c>
      <c r="B855" t="s">
        <v>8</v>
      </c>
      <c r="C855" s="3">
        <v>813625.92078439705</v>
      </c>
      <c r="D855" s="3"/>
      <c r="E855" s="3">
        <v>414295.97091958998</v>
      </c>
      <c r="F855" s="3">
        <v>1228096.0527421299</v>
      </c>
      <c r="G855" s="1">
        <v>44804</v>
      </c>
      <c r="H855" s="2">
        <v>45901</v>
      </c>
    </row>
    <row r="856" spans="1:8" hidden="1" x14ac:dyDescent="0.45">
      <c r="A856">
        <v>854</v>
      </c>
      <c r="B856" t="s">
        <v>8</v>
      </c>
      <c r="C856" s="3">
        <v>506915.12099707802</v>
      </c>
      <c r="D856" s="3"/>
      <c r="E856" s="3">
        <v>251737.04390157299</v>
      </c>
      <c r="F856" s="3">
        <v>794452.51366073999</v>
      </c>
      <c r="G856" s="1">
        <v>44804</v>
      </c>
      <c r="H856" s="2">
        <v>45931</v>
      </c>
    </row>
    <row r="857" spans="1:8" hidden="1" x14ac:dyDescent="0.45">
      <c r="A857">
        <v>855</v>
      </c>
      <c r="B857" t="s">
        <v>7</v>
      </c>
      <c r="C857" s="3">
        <v>152215.209050131</v>
      </c>
      <c r="D857" s="3">
        <v>28250.62</v>
      </c>
      <c r="E857" s="3">
        <v>87567.411544332295</v>
      </c>
      <c r="F857" s="3">
        <v>220811.04340816801</v>
      </c>
      <c r="G857" s="1">
        <v>44834</v>
      </c>
      <c r="H857" s="2">
        <v>44228</v>
      </c>
    </row>
    <row r="858" spans="1:8" hidden="1" x14ac:dyDescent="0.45">
      <c r="A858">
        <v>856</v>
      </c>
      <c r="B858" t="s">
        <v>7</v>
      </c>
      <c r="C858" s="3">
        <v>369022.36360485601</v>
      </c>
      <c r="D858" s="3">
        <v>36247.919999999998</v>
      </c>
      <c r="E858" s="3">
        <v>231047.17027601201</v>
      </c>
      <c r="F858" s="3">
        <v>505436.39241078001</v>
      </c>
      <c r="G858" s="1">
        <v>44834</v>
      </c>
      <c r="H858" s="2">
        <v>44256</v>
      </c>
    </row>
    <row r="859" spans="1:8" hidden="1" x14ac:dyDescent="0.45">
      <c r="A859">
        <v>857</v>
      </c>
      <c r="B859" t="s">
        <v>7</v>
      </c>
      <c r="C859" s="3">
        <v>104268.051659041</v>
      </c>
      <c r="D859" s="3">
        <v>14721.48</v>
      </c>
      <c r="E859" s="3">
        <v>44960.808444237096</v>
      </c>
      <c r="F859" s="3">
        <v>174017.546890397</v>
      </c>
      <c r="G859" s="1">
        <v>44834</v>
      </c>
      <c r="H859" s="2">
        <v>44287</v>
      </c>
    </row>
    <row r="860" spans="1:8" hidden="1" x14ac:dyDescent="0.45">
      <c r="A860">
        <v>858</v>
      </c>
      <c r="B860" t="s">
        <v>7</v>
      </c>
      <c r="C860" s="3">
        <v>190301.84780451801</v>
      </c>
      <c r="D860" s="3">
        <v>94346.71</v>
      </c>
      <c r="E860" s="3">
        <v>98019.924738426795</v>
      </c>
      <c r="F860" s="3">
        <v>289933.009983066</v>
      </c>
      <c r="G860" s="1">
        <v>44834</v>
      </c>
      <c r="H860" s="2">
        <v>44317</v>
      </c>
    </row>
    <row r="861" spans="1:8" hidden="1" x14ac:dyDescent="0.45">
      <c r="A861">
        <v>859</v>
      </c>
      <c r="B861" t="s">
        <v>7</v>
      </c>
      <c r="C861" s="3">
        <v>538756.91530743905</v>
      </c>
      <c r="D861" s="3">
        <v>970740.72</v>
      </c>
      <c r="E861" s="3">
        <v>343310.24531553697</v>
      </c>
      <c r="F861" s="3">
        <v>765009.76326100901</v>
      </c>
      <c r="G861" s="1">
        <v>44834</v>
      </c>
      <c r="H861" s="2">
        <v>44348</v>
      </c>
    </row>
    <row r="862" spans="1:8" hidden="1" x14ac:dyDescent="0.45">
      <c r="A862">
        <v>860</v>
      </c>
      <c r="B862" t="s">
        <v>7</v>
      </c>
      <c r="C862" s="3">
        <v>1178137.2764993201</v>
      </c>
      <c r="D862" s="3">
        <v>1798271.24</v>
      </c>
      <c r="E862" s="3">
        <v>782724.53511687706</v>
      </c>
      <c r="F862" s="3">
        <v>1570248.7678231499</v>
      </c>
      <c r="G862" s="1">
        <v>44834</v>
      </c>
      <c r="H862" s="2">
        <v>44378</v>
      </c>
    </row>
    <row r="863" spans="1:8" hidden="1" x14ac:dyDescent="0.45">
      <c r="A863">
        <v>861</v>
      </c>
      <c r="B863" t="s">
        <v>7</v>
      </c>
      <c r="C863" s="3">
        <v>1068172.8905406899</v>
      </c>
      <c r="D863" s="3">
        <v>700449.31</v>
      </c>
      <c r="E863" s="3">
        <v>684687.50863663398</v>
      </c>
      <c r="F863" s="3">
        <v>1464775.2457639</v>
      </c>
      <c r="G863" s="1">
        <v>44834</v>
      </c>
      <c r="H863" s="2">
        <v>44409</v>
      </c>
    </row>
    <row r="864" spans="1:8" hidden="1" x14ac:dyDescent="0.45">
      <c r="A864">
        <v>862</v>
      </c>
      <c r="B864" t="s">
        <v>7</v>
      </c>
      <c r="C864" s="3">
        <v>1156580.83401928</v>
      </c>
      <c r="D864" s="3">
        <v>1784906.52</v>
      </c>
      <c r="E864" s="3">
        <v>725059.14179099398</v>
      </c>
      <c r="F864" s="3">
        <v>1592304.87173473</v>
      </c>
      <c r="G864" s="1">
        <v>44834</v>
      </c>
      <c r="H864" s="2">
        <v>44440</v>
      </c>
    </row>
    <row r="865" spans="1:8" hidden="1" x14ac:dyDescent="0.45">
      <c r="A865">
        <v>863</v>
      </c>
      <c r="B865" t="s">
        <v>7</v>
      </c>
      <c r="C865" s="3">
        <v>929689.21411710803</v>
      </c>
      <c r="D865" s="3">
        <v>706422.77</v>
      </c>
      <c r="E865" s="3">
        <v>520284.583690923</v>
      </c>
      <c r="F865" s="3">
        <v>1391729.26177892</v>
      </c>
      <c r="G865" s="1">
        <v>44834</v>
      </c>
      <c r="H865" s="2">
        <v>44470</v>
      </c>
    </row>
    <row r="866" spans="1:8" hidden="1" x14ac:dyDescent="0.45">
      <c r="A866">
        <v>864</v>
      </c>
      <c r="B866" t="s">
        <v>7</v>
      </c>
      <c r="C866" s="3">
        <v>2484038.0514850202</v>
      </c>
      <c r="D866" s="3">
        <v>3115611.92</v>
      </c>
      <c r="E866" s="3">
        <v>1720585.05195496</v>
      </c>
      <c r="F866" s="3">
        <v>3247610.0520766801</v>
      </c>
      <c r="G866" s="1">
        <v>44834</v>
      </c>
      <c r="H866" s="2">
        <v>44501</v>
      </c>
    </row>
    <row r="867" spans="1:8" hidden="1" x14ac:dyDescent="0.45">
      <c r="A867">
        <v>865</v>
      </c>
      <c r="B867" t="s">
        <v>7</v>
      </c>
      <c r="C867" s="3">
        <v>638634.93725482805</v>
      </c>
      <c r="D867" s="3">
        <v>227049.91</v>
      </c>
      <c r="E867" s="3">
        <v>317323.93086173403</v>
      </c>
      <c r="F867" s="3">
        <v>1031963.14510372</v>
      </c>
      <c r="G867" s="1">
        <v>44834</v>
      </c>
      <c r="H867" s="2">
        <v>44531</v>
      </c>
    </row>
    <row r="868" spans="1:8" hidden="1" x14ac:dyDescent="0.45">
      <c r="A868">
        <v>866</v>
      </c>
      <c r="B868" t="s">
        <v>7</v>
      </c>
      <c r="C868" s="3">
        <v>1268122.95564296</v>
      </c>
      <c r="D868" s="3">
        <v>1231496.1499999999</v>
      </c>
      <c r="E868" s="3">
        <v>759298.14098297094</v>
      </c>
      <c r="F868" s="3">
        <v>1815498.8745051301</v>
      </c>
      <c r="G868" s="1">
        <v>44834</v>
      </c>
      <c r="H868" s="2">
        <v>44562</v>
      </c>
    </row>
    <row r="869" spans="1:8" hidden="1" x14ac:dyDescent="0.45">
      <c r="A869">
        <v>867</v>
      </c>
      <c r="B869" t="s">
        <v>7</v>
      </c>
      <c r="C869" s="3">
        <v>1028726.25512024</v>
      </c>
      <c r="D869" s="3">
        <v>1031231.86</v>
      </c>
      <c r="E869" s="3">
        <v>584584.06046765298</v>
      </c>
      <c r="F869" s="3">
        <v>1525861.1287716101</v>
      </c>
      <c r="G869" s="1">
        <v>44834</v>
      </c>
      <c r="H869" s="2">
        <v>44593</v>
      </c>
    </row>
    <row r="870" spans="1:8" hidden="1" x14ac:dyDescent="0.45">
      <c r="A870">
        <v>868</v>
      </c>
      <c r="B870" t="s">
        <v>7</v>
      </c>
      <c r="C870" s="3">
        <v>2470727.3548143902</v>
      </c>
      <c r="D870" s="3">
        <v>2866780.02</v>
      </c>
      <c r="E870" s="3">
        <v>1701966.52052062</v>
      </c>
      <c r="F870" s="3">
        <v>3287830.45609977</v>
      </c>
      <c r="G870" s="1">
        <v>44834</v>
      </c>
      <c r="H870" s="2">
        <v>44621</v>
      </c>
    </row>
    <row r="871" spans="1:8" hidden="1" x14ac:dyDescent="0.45">
      <c r="A871">
        <v>869</v>
      </c>
      <c r="B871" t="s">
        <v>7</v>
      </c>
      <c r="C871" s="3">
        <v>469286.286487545</v>
      </c>
      <c r="D871" s="3">
        <v>106305.83</v>
      </c>
      <c r="E871" s="3">
        <v>204093.90496581499</v>
      </c>
      <c r="F871" s="3">
        <v>757496.50072738703</v>
      </c>
      <c r="G871" s="1">
        <v>44834</v>
      </c>
      <c r="H871" s="2">
        <v>44652</v>
      </c>
    </row>
    <row r="872" spans="1:8" hidden="1" x14ac:dyDescent="0.45">
      <c r="A872">
        <v>870</v>
      </c>
      <c r="B872" t="s">
        <v>7</v>
      </c>
      <c r="C872" s="3">
        <v>771707.14876382204</v>
      </c>
      <c r="D872" s="3">
        <v>667164.73</v>
      </c>
      <c r="E872" s="3">
        <v>403936.17035000602</v>
      </c>
      <c r="F872" s="3">
        <v>1177679.85085496</v>
      </c>
      <c r="G872" s="1">
        <v>44834</v>
      </c>
      <c r="H872" s="2">
        <v>44682</v>
      </c>
    </row>
    <row r="873" spans="1:8" hidden="1" x14ac:dyDescent="0.45">
      <c r="A873">
        <v>871</v>
      </c>
      <c r="B873" t="s">
        <v>7</v>
      </c>
      <c r="C873" s="3">
        <v>1322191.2412279099</v>
      </c>
      <c r="D873" s="3">
        <v>1398761.09</v>
      </c>
      <c r="E873" s="3">
        <v>788878.27643466601</v>
      </c>
      <c r="F873" s="3">
        <v>1883373.0808011</v>
      </c>
      <c r="G873" s="1">
        <v>44834</v>
      </c>
      <c r="H873" s="2">
        <v>44713</v>
      </c>
    </row>
    <row r="874" spans="1:8" hidden="1" x14ac:dyDescent="0.45">
      <c r="A874">
        <v>872</v>
      </c>
      <c r="B874" t="s">
        <v>7</v>
      </c>
      <c r="C874" s="3">
        <v>1354902.5248093901</v>
      </c>
      <c r="D874" s="3">
        <v>931475.54</v>
      </c>
      <c r="E874" s="3">
        <v>817337.98613424494</v>
      </c>
      <c r="F874" s="3">
        <v>1940365.18089856</v>
      </c>
      <c r="G874" s="1">
        <v>44834</v>
      </c>
      <c r="H874" s="2">
        <v>44743</v>
      </c>
    </row>
    <row r="875" spans="1:8" hidden="1" x14ac:dyDescent="0.45">
      <c r="A875">
        <v>873</v>
      </c>
      <c r="B875" t="s">
        <v>7</v>
      </c>
      <c r="C875" s="3">
        <v>1270696.1774164101</v>
      </c>
      <c r="D875" s="3">
        <v>1335916.6499999999</v>
      </c>
      <c r="E875" s="3">
        <v>781078.08553293603</v>
      </c>
      <c r="F875" s="3">
        <v>1772623.26986907</v>
      </c>
      <c r="G875" s="1">
        <v>44834</v>
      </c>
      <c r="H875" s="2">
        <v>44774</v>
      </c>
    </row>
    <row r="876" spans="1:8" hidden="1" x14ac:dyDescent="0.45">
      <c r="A876">
        <v>874</v>
      </c>
      <c r="B876" t="s">
        <v>7</v>
      </c>
      <c r="C876" s="3">
        <v>1100766.5454578199</v>
      </c>
      <c r="D876" s="3">
        <v>976647.27</v>
      </c>
      <c r="E876" s="3">
        <v>629854.30833371298</v>
      </c>
      <c r="F876" s="3">
        <v>1605641.14919872</v>
      </c>
      <c r="G876" s="1">
        <v>44834</v>
      </c>
      <c r="H876" s="2">
        <v>44805</v>
      </c>
    </row>
    <row r="877" spans="1:8" hidden="1" x14ac:dyDescent="0.45">
      <c r="A877">
        <v>875</v>
      </c>
      <c r="B877" t="s">
        <v>8</v>
      </c>
      <c r="C877" s="3">
        <v>924299.62737570202</v>
      </c>
      <c r="D877" s="3">
        <v>926894.01</v>
      </c>
      <c r="E877" s="3">
        <v>397062.031595079</v>
      </c>
      <c r="F877" s="3">
        <v>1532912.39415768</v>
      </c>
      <c r="G877" s="1">
        <v>44834</v>
      </c>
      <c r="H877" s="2">
        <v>44835</v>
      </c>
    </row>
    <row r="878" spans="1:8" hidden="1" x14ac:dyDescent="0.45">
      <c r="A878">
        <v>876</v>
      </c>
      <c r="B878" t="s">
        <v>8</v>
      </c>
      <c r="C878" s="3">
        <v>2508566.5278944098</v>
      </c>
      <c r="D878" s="3">
        <v>1870279.62</v>
      </c>
      <c r="E878" s="3">
        <v>1390013.8710718199</v>
      </c>
      <c r="F878" s="3">
        <v>3701087.76031315</v>
      </c>
      <c r="G878" s="1">
        <v>44834</v>
      </c>
      <c r="H878" s="2">
        <v>44866</v>
      </c>
    </row>
    <row r="879" spans="1:8" hidden="1" x14ac:dyDescent="0.45">
      <c r="A879">
        <v>877</v>
      </c>
      <c r="B879" t="s">
        <v>8</v>
      </c>
      <c r="C879" s="3">
        <v>502871.08299929299</v>
      </c>
      <c r="D879" s="3">
        <v>316605.83</v>
      </c>
      <c r="E879" s="3">
        <v>190736.13359993201</v>
      </c>
      <c r="F879" s="3">
        <v>857792.89691830694</v>
      </c>
      <c r="G879" s="1">
        <v>44834</v>
      </c>
      <c r="H879" s="2">
        <v>44896</v>
      </c>
    </row>
    <row r="880" spans="1:8" hidden="1" x14ac:dyDescent="0.45">
      <c r="A880">
        <v>878</v>
      </c>
      <c r="B880" t="s">
        <v>8</v>
      </c>
      <c r="C880" s="3">
        <v>1036551.0267161099</v>
      </c>
      <c r="D880" s="3">
        <v>968341.94</v>
      </c>
      <c r="E880" s="3">
        <v>526617.90295710601</v>
      </c>
      <c r="F880" s="3">
        <v>1604613.0148332</v>
      </c>
      <c r="G880" s="1">
        <v>44834</v>
      </c>
      <c r="H880" s="2">
        <v>44927</v>
      </c>
    </row>
    <row r="881" spans="1:8" hidden="1" x14ac:dyDescent="0.45">
      <c r="A881">
        <v>879</v>
      </c>
      <c r="B881" t="s">
        <v>8</v>
      </c>
      <c r="C881" s="3">
        <v>847241.962184706</v>
      </c>
      <c r="D881" s="3">
        <v>885581.16999999899</v>
      </c>
      <c r="E881" s="3">
        <v>423786.10146169801</v>
      </c>
      <c r="F881" s="3">
        <v>1325625.3955158901</v>
      </c>
      <c r="G881" s="1">
        <v>44834</v>
      </c>
      <c r="H881" s="2">
        <v>44958</v>
      </c>
    </row>
    <row r="882" spans="1:8" hidden="1" x14ac:dyDescent="0.45">
      <c r="A882">
        <v>880</v>
      </c>
      <c r="B882" t="s">
        <v>8</v>
      </c>
      <c r="C882" s="3">
        <v>2031751.8234786999</v>
      </c>
      <c r="D882" s="3">
        <v>536804.26</v>
      </c>
      <c r="E882" s="3">
        <v>1148248.33956401</v>
      </c>
      <c r="F882" s="3">
        <v>3010520.3881332502</v>
      </c>
      <c r="G882" s="1">
        <v>44834</v>
      </c>
      <c r="H882" s="2">
        <v>44986</v>
      </c>
    </row>
    <row r="883" spans="1:8" hidden="1" x14ac:dyDescent="0.45">
      <c r="A883">
        <v>881</v>
      </c>
      <c r="B883" t="s">
        <v>8</v>
      </c>
      <c r="C883" s="3">
        <v>340870.15326916502</v>
      </c>
      <c r="D883" s="3">
        <v>918943.02</v>
      </c>
      <c r="E883" s="3">
        <v>132957.27299313401</v>
      </c>
      <c r="F883" s="3">
        <v>578305.55494825298</v>
      </c>
      <c r="G883" s="1">
        <v>44834</v>
      </c>
      <c r="H883" s="2">
        <v>45017</v>
      </c>
    </row>
    <row r="884" spans="1:8" hidden="1" x14ac:dyDescent="0.45">
      <c r="A884">
        <v>882</v>
      </c>
      <c r="B884" t="s">
        <v>8</v>
      </c>
      <c r="C884" s="3">
        <v>570280.51177442004</v>
      </c>
      <c r="D884" s="3">
        <v>929461.87</v>
      </c>
      <c r="E884" s="3">
        <v>259559.70376817699</v>
      </c>
      <c r="F884" s="3">
        <v>921766.94941953896</v>
      </c>
      <c r="G884" s="1">
        <v>44834</v>
      </c>
      <c r="H884" s="2">
        <v>45047</v>
      </c>
    </row>
    <row r="885" spans="1:8" hidden="1" x14ac:dyDescent="0.45">
      <c r="A885">
        <v>883</v>
      </c>
      <c r="B885" t="s">
        <v>8</v>
      </c>
      <c r="C885" s="3">
        <v>994804.76056921796</v>
      </c>
      <c r="D885" s="3">
        <v>807295.81</v>
      </c>
      <c r="E885" s="3">
        <v>545123.14994393406</v>
      </c>
      <c r="F885" s="3">
        <v>1488593.1799011501</v>
      </c>
      <c r="G885" s="1">
        <v>44834</v>
      </c>
      <c r="H885" s="2">
        <v>45078</v>
      </c>
    </row>
    <row r="886" spans="1:8" hidden="1" x14ac:dyDescent="0.45">
      <c r="A886">
        <v>884</v>
      </c>
      <c r="B886" t="s">
        <v>8</v>
      </c>
      <c r="C886" s="3">
        <v>957200.23313295399</v>
      </c>
      <c r="D886" s="3">
        <v>824071.59</v>
      </c>
      <c r="E886" s="3">
        <v>527955.63461582002</v>
      </c>
      <c r="F886" s="3">
        <v>1431284.79680265</v>
      </c>
      <c r="G886" s="1">
        <v>44834</v>
      </c>
      <c r="H886" s="2">
        <v>45108</v>
      </c>
    </row>
    <row r="887" spans="1:8" hidden="1" x14ac:dyDescent="0.45">
      <c r="A887">
        <v>885</v>
      </c>
      <c r="B887" t="s">
        <v>8</v>
      </c>
      <c r="C887" s="3">
        <v>982567.49704300996</v>
      </c>
      <c r="D887" s="3">
        <v>858499.71</v>
      </c>
      <c r="E887" s="3">
        <v>537815.53674539505</v>
      </c>
      <c r="F887" s="3">
        <v>1435778.3952974901</v>
      </c>
      <c r="G887" s="1">
        <v>44834</v>
      </c>
      <c r="H887" s="2">
        <v>45139</v>
      </c>
    </row>
    <row r="888" spans="1:8" hidden="1" x14ac:dyDescent="0.45">
      <c r="A888">
        <v>886</v>
      </c>
      <c r="B888" t="s">
        <v>8</v>
      </c>
      <c r="C888" s="3">
        <v>807668.64730245003</v>
      </c>
      <c r="D888" s="3">
        <v>921254.5</v>
      </c>
      <c r="E888" s="3">
        <v>429920.22599416203</v>
      </c>
      <c r="F888" s="3">
        <v>1230337.54663103</v>
      </c>
      <c r="G888" s="1">
        <v>44834</v>
      </c>
      <c r="H888" s="2">
        <v>45170</v>
      </c>
    </row>
    <row r="889" spans="1:8" hidden="1" x14ac:dyDescent="0.45">
      <c r="A889">
        <v>887</v>
      </c>
      <c r="B889" t="s">
        <v>8</v>
      </c>
      <c r="C889" s="3">
        <v>717057.60068925505</v>
      </c>
      <c r="D889" s="3">
        <v>824891.14</v>
      </c>
      <c r="E889" s="3">
        <v>296527.63132688502</v>
      </c>
      <c r="F889" s="3">
        <v>1226107.66060252</v>
      </c>
      <c r="G889" s="1">
        <v>44834</v>
      </c>
      <c r="H889" s="2">
        <v>45200</v>
      </c>
    </row>
    <row r="890" spans="1:8" hidden="1" x14ac:dyDescent="0.45">
      <c r="A890">
        <v>888</v>
      </c>
      <c r="B890" t="s">
        <v>8</v>
      </c>
      <c r="C890" s="3">
        <v>1903250.84327447</v>
      </c>
      <c r="D890" s="3">
        <v>1358528.2</v>
      </c>
      <c r="E890" s="3">
        <v>1030660.14734555</v>
      </c>
      <c r="F890" s="3">
        <v>2859675.3226355799</v>
      </c>
      <c r="G890" s="1">
        <v>44834</v>
      </c>
      <c r="H890" s="2">
        <v>45231</v>
      </c>
    </row>
    <row r="891" spans="1:8" hidden="1" x14ac:dyDescent="0.45">
      <c r="A891">
        <v>889</v>
      </c>
      <c r="B891" t="s">
        <v>8</v>
      </c>
      <c r="C891" s="3">
        <v>401742.63928612799</v>
      </c>
      <c r="D891" s="3">
        <v>587380.53999999899</v>
      </c>
      <c r="E891" s="3">
        <v>138328.93569565</v>
      </c>
      <c r="F891" s="3">
        <v>685937.878627831</v>
      </c>
      <c r="G891" s="1">
        <v>44834</v>
      </c>
      <c r="H891" s="2">
        <v>45261</v>
      </c>
    </row>
    <row r="892" spans="1:8" hidden="1" x14ac:dyDescent="0.45">
      <c r="A892">
        <v>890</v>
      </c>
      <c r="B892" t="s">
        <v>8</v>
      </c>
      <c r="C892" s="3">
        <v>827410.87913365604</v>
      </c>
      <c r="D892" s="3">
        <v>930792.3</v>
      </c>
      <c r="E892" s="3">
        <v>411035.34972216899</v>
      </c>
      <c r="F892" s="3">
        <v>1282357.1271886199</v>
      </c>
      <c r="G892" s="1">
        <v>44834</v>
      </c>
      <c r="H892" s="2">
        <v>45292</v>
      </c>
    </row>
    <row r="893" spans="1:8" hidden="1" x14ac:dyDescent="0.45">
      <c r="A893">
        <v>891</v>
      </c>
      <c r="B893" t="s">
        <v>8</v>
      </c>
      <c r="C893" s="3">
        <v>683044.54857456801</v>
      </c>
      <c r="D893" s="3">
        <v>614329.99</v>
      </c>
      <c r="E893" s="3">
        <v>340498.33821515099</v>
      </c>
      <c r="F893" s="3">
        <v>1077449.0680048999</v>
      </c>
      <c r="G893" s="1">
        <v>44834</v>
      </c>
      <c r="H893" s="2">
        <v>45323</v>
      </c>
    </row>
    <row r="894" spans="1:8" hidden="1" x14ac:dyDescent="0.45">
      <c r="A894">
        <v>892</v>
      </c>
      <c r="B894" t="s">
        <v>8</v>
      </c>
      <c r="C894" s="3">
        <v>1607310.3784002999</v>
      </c>
      <c r="D894" s="3">
        <v>620407.09</v>
      </c>
      <c r="E894" s="3">
        <v>890392.321275722</v>
      </c>
      <c r="F894" s="3">
        <v>2440859.0084713302</v>
      </c>
      <c r="G894" s="1">
        <v>44834</v>
      </c>
      <c r="H894" s="2">
        <v>45352</v>
      </c>
    </row>
    <row r="895" spans="1:8" hidden="1" x14ac:dyDescent="0.45">
      <c r="A895">
        <v>893</v>
      </c>
      <c r="B895" t="s">
        <v>8</v>
      </c>
      <c r="C895" s="3">
        <v>277912.96985982201</v>
      </c>
      <c r="D895" s="3">
        <v>961756.91</v>
      </c>
      <c r="E895" s="3">
        <v>104064.613714031</v>
      </c>
      <c r="F895" s="3">
        <v>474110.99642962997</v>
      </c>
      <c r="G895" s="1">
        <v>44834</v>
      </c>
      <c r="H895" s="2">
        <v>45383</v>
      </c>
    </row>
    <row r="896" spans="1:8" hidden="1" x14ac:dyDescent="0.45">
      <c r="A896">
        <v>894</v>
      </c>
      <c r="B896" t="s">
        <v>8</v>
      </c>
      <c r="C896" s="3">
        <v>461313.915287368</v>
      </c>
      <c r="D896" s="3">
        <v>516077.85</v>
      </c>
      <c r="E896" s="3">
        <v>207151.99311445799</v>
      </c>
      <c r="F896" s="3">
        <v>748710.34281181102</v>
      </c>
      <c r="G896" s="1">
        <v>44834</v>
      </c>
      <c r="H896" s="2">
        <v>45413</v>
      </c>
    </row>
    <row r="897" spans="1:8" hidden="1" x14ac:dyDescent="0.45">
      <c r="A897">
        <v>895</v>
      </c>
      <c r="B897" t="s">
        <v>8</v>
      </c>
      <c r="C897" s="3">
        <v>812600.82987021306</v>
      </c>
      <c r="D897" s="3">
        <v>549718.63</v>
      </c>
      <c r="E897" s="3">
        <v>442987.95088939997</v>
      </c>
      <c r="F897" s="3">
        <v>1216104.0465337399</v>
      </c>
      <c r="G897" s="1">
        <v>44834</v>
      </c>
      <c r="H897" s="2">
        <v>45444</v>
      </c>
    </row>
    <row r="898" spans="1:8" hidden="1" x14ac:dyDescent="0.45">
      <c r="A898">
        <v>896</v>
      </c>
      <c r="B898" t="s">
        <v>8</v>
      </c>
      <c r="C898" s="3">
        <v>780623.30476931995</v>
      </c>
      <c r="D898" s="3">
        <v>599659.19999999902</v>
      </c>
      <c r="E898" s="3">
        <v>429853.32377209701</v>
      </c>
      <c r="F898" s="3">
        <v>1172740.0850569</v>
      </c>
      <c r="G898" s="1">
        <v>44834</v>
      </c>
      <c r="H898" s="2">
        <v>45474</v>
      </c>
    </row>
    <row r="899" spans="1:8" hidden="1" x14ac:dyDescent="0.45">
      <c r="A899">
        <v>897</v>
      </c>
      <c r="B899" t="s">
        <v>8</v>
      </c>
      <c r="C899" s="3">
        <v>796923.03312282695</v>
      </c>
      <c r="D899" s="3">
        <v>553115.60999999905</v>
      </c>
      <c r="E899" s="3">
        <v>445886.42678013298</v>
      </c>
      <c r="F899" s="3">
        <v>1175168.6716823301</v>
      </c>
      <c r="G899" s="1">
        <v>44834</v>
      </c>
      <c r="H899" s="2">
        <v>45505</v>
      </c>
    </row>
    <row r="900" spans="1:8" hidden="1" x14ac:dyDescent="0.45">
      <c r="A900">
        <v>898</v>
      </c>
      <c r="B900" t="s">
        <v>8</v>
      </c>
      <c r="C900" s="3">
        <v>660761.58617642103</v>
      </c>
      <c r="D900" s="3">
        <v>1020126.92</v>
      </c>
      <c r="E900" s="3">
        <v>349014.41563824401</v>
      </c>
      <c r="F900" s="3">
        <v>1006319.24346423</v>
      </c>
      <c r="G900" s="1">
        <v>44834</v>
      </c>
      <c r="H900" s="2">
        <v>45536</v>
      </c>
    </row>
    <row r="901" spans="1:8" hidden="1" x14ac:dyDescent="0.45">
      <c r="A901">
        <v>899</v>
      </c>
      <c r="B901" t="s">
        <v>8</v>
      </c>
      <c r="C901" s="3">
        <v>583895.86683379801</v>
      </c>
      <c r="D901" s="3">
        <v>415199.48</v>
      </c>
      <c r="E901" s="3">
        <v>241385.37893904001</v>
      </c>
      <c r="F901" s="3">
        <v>992970.25739539799</v>
      </c>
      <c r="G901" s="1">
        <v>44834</v>
      </c>
      <c r="H901" s="2">
        <v>45566</v>
      </c>
    </row>
    <row r="902" spans="1:8" hidden="1" x14ac:dyDescent="0.45">
      <c r="A902">
        <v>900</v>
      </c>
      <c r="B902" t="s">
        <v>8</v>
      </c>
      <c r="C902" s="3">
        <v>1542253.9517657601</v>
      </c>
      <c r="D902" s="3"/>
      <c r="E902" s="3">
        <v>847564.63767657103</v>
      </c>
      <c r="F902" s="3">
        <v>2314915.95781076</v>
      </c>
      <c r="G902" s="1">
        <v>44834</v>
      </c>
      <c r="H902" s="2">
        <v>45597</v>
      </c>
    </row>
    <row r="903" spans="1:8" hidden="1" x14ac:dyDescent="0.45">
      <c r="A903">
        <v>901</v>
      </c>
      <c r="B903" t="s">
        <v>8</v>
      </c>
      <c r="C903" s="3">
        <v>328229.71154631599</v>
      </c>
      <c r="D903" s="3"/>
      <c r="E903" s="3">
        <v>113318.354767066</v>
      </c>
      <c r="F903" s="3">
        <v>559032.07927322504</v>
      </c>
      <c r="G903" s="1">
        <v>44834</v>
      </c>
      <c r="H903" s="2">
        <v>45627</v>
      </c>
    </row>
    <row r="904" spans="1:8" hidden="1" x14ac:dyDescent="0.45">
      <c r="A904">
        <v>902</v>
      </c>
      <c r="B904" t="s">
        <v>8</v>
      </c>
      <c r="C904" s="3">
        <v>676386.58035874495</v>
      </c>
      <c r="D904" s="3"/>
      <c r="E904" s="3">
        <v>336633.68636470498</v>
      </c>
      <c r="F904" s="3">
        <v>1050420.98342325</v>
      </c>
      <c r="G904" s="1">
        <v>44834</v>
      </c>
      <c r="H904" s="2">
        <v>45658</v>
      </c>
    </row>
    <row r="905" spans="1:8" hidden="1" x14ac:dyDescent="0.45">
      <c r="A905">
        <v>903</v>
      </c>
      <c r="B905" t="s">
        <v>8</v>
      </c>
      <c r="C905" s="3">
        <v>557525.97157384094</v>
      </c>
      <c r="D905" s="3"/>
      <c r="E905" s="3">
        <v>278617.63578378398</v>
      </c>
      <c r="F905" s="3">
        <v>877095.22715128097</v>
      </c>
      <c r="G905" s="1">
        <v>44834</v>
      </c>
      <c r="H905" s="2">
        <v>45689</v>
      </c>
    </row>
    <row r="906" spans="1:8" hidden="1" x14ac:dyDescent="0.45">
      <c r="A906">
        <v>904</v>
      </c>
      <c r="B906" t="s">
        <v>8</v>
      </c>
      <c r="C906" s="3">
        <v>1298858.70864293</v>
      </c>
      <c r="D906" s="3"/>
      <c r="E906" s="3">
        <v>727604.80181378894</v>
      </c>
      <c r="F906" s="3">
        <v>1964343.22594055</v>
      </c>
      <c r="G906" s="1">
        <v>44834</v>
      </c>
      <c r="H906" s="2">
        <v>45717</v>
      </c>
    </row>
    <row r="907" spans="1:8" hidden="1" x14ac:dyDescent="0.45">
      <c r="A907">
        <v>905</v>
      </c>
      <c r="B907" t="s">
        <v>8</v>
      </c>
      <c r="C907" s="3">
        <v>228186.655704479</v>
      </c>
      <c r="D907" s="3"/>
      <c r="E907" s="3">
        <v>85335.802883195094</v>
      </c>
      <c r="F907" s="3">
        <v>389542.03414332302</v>
      </c>
      <c r="G907" s="1">
        <v>44834</v>
      </c>
      <c r="H907" s="2">
        <v>45748</v>
      </c>
    </row>
    <row r="908" spans="1:8" hidden="1" x14ac:dyDescent="0.45">
      <c r="A908">
        <v>906</v>
      </c>
      <c r="B908" t="s">
        <v>8</v>
      </c>
      <c r="C908" s="3">
        <v>378422.654068292</v>
      </c>
      <c r="D908" s="3"/>
      <c r="E908" s="3">
        <v>172859.913435378</v>
      </c>
      <c r="F908" s="3">
        <v>614541.89102005598</v>
      </c>
      <c r="G908" s="1">
        <v>44834</v>
      </c>
      <c r="H908" s="2">
        <v>45778</v>
      </c>
    </row>
    <row r="909" spans="1:8" hidden="1" x14ac:dyDescent="0.45">
      <c r="A909">
        <v>907</v>
      </c>
      <c r="B909" t="s">
        <v>8</v>
      </c>
      <c r="C909" s="3">
        <v>671304.73819540802</v>
      </c>
      <c r="D909" s="3"/>
      <c r="E909" s="3">
        <v>370298.45204219897</v>
      </c>
      <c r="F909" s="3">
        <v>1005905.08796422</v>
      </c>
      <c r="G909" s="1">
        <v>44834</v>
      </c>
      <c r="H909" s="2">
        <v>45809</v>
      </c>
    </row>
    <row r="910" spans="1:8" hidden="1" x14ac:dyDescent="0.45">
      <c r="A910">
        <v>908</v>
      </c>
      <c r="B910" t="s">
        <v>8</v>
      </c>
      <c r="C910" s="3">
        <v>645350.31843614206</v>
      </c>
      <c r="D910" s="3"/>
      <c r="E910" s="3">
        <v>351217.47463809402</v>
      </c>
      <c r="F910" s="3">
        <v>964414.160438127</v>
      </c>
      <c r="G910" s="1">
        <v>44834</v>
      </c>
      <c r="H910" s="2">
        <v>45839</v>
      </c>
    </row>
    <row r="911" spans="1:8" hidden="1" x14ac:dyDescent="0.45">
      <c r="A911">
        <v>909</v>
      </c>
      <c r="B911" t="s">
        <v>8</v>
      </c>
      <c r="C911" s="3">
        <v>653645.89322214294</v>
      </c>
      <c r="D911" s="3"/>
      <c r="E911" s="3">
        <v>356768.85778237</v>
      </c>
      <c r="F911" s="3">
        <v>953868.47539851698</v>
      </c>
      <c r="G911" s="1">
        <v>44834</v>
      </c>
      <c r="H911" s="2">
        <v>45870</v>
      </c>
    </row>
    <row r="912" spans="1:8" hidden="1" x14ac:dyDescent="0.45">
      <c r="A912">
        <v>910</v>
      </c>
      <c r="B912" t="s">
        <v>8</v>
      </c>
      <c r="C912" s="3">
        <v>546208.02050271095</v>
      </c>
      <c r="D912" s="3"/>
      <c r="E912" s="3">
        <v>289909.34502502199</v>
      </c>
      <c r="F912" s="3">
        <v>829436.21575720794</v>
      </c>
      <c r="G912" s="1">
        <v>44834</v>
      </c>
      <c r="H912" s="2">
        <v>45901</v>
      </c>
    </row>
    <row r="913" spans="1:8" hidden="1" x14ac:dyDescent="0.45">
      <c r="A913">
        <v>911</v>
      </c>
      <c r="B913" t="s">
        <v>8</v>
      </c>
      <c r="C913" s="3">
        <v>480529.67049523297</v>
      </c>
      <c r="D913" s="3"/>
      <c r="E913" s="3">
        <v>204902.90882001701</v>
      </c>
      <c r="F913" s="3">
        <v>817485.260669015</v>
      </c>
      <c r="G913" s="1">
        <v>44834</v>
      </c>
      <c r="H913" s="2">
        <v>45931</v>
      </c>
    </row>
    <row r="914" spans="1:8" hidden="1" x14ac:dyDescent="0.45">
      <c r="A914">
        <v>912</v>
      </c>
      <c r="B914" t="s">
        <v>7</v>
      </c>
      <c r="C914" s="3">
        <v>146099.56160432901</v>
      </c>
      <c r="D914" s="3">
        <v>28250.62</v>
      </c>
      <c r="E914" s="3">
        <v>72812.694372398997</v>
      </c>
      <c r="F914" s="3">
        <v>220756.218629624</v>
      </c>
      <c r="G914" s="1">
        <v>44865</v>
      </c>
      <c r="H914" s="2">
        <v>44228</v>
      </c>
    </row>
    <row r="915" spans="1:8" hidden="1" x14ac:dyDescent="0.45">
      <c r="A915">
        <v>913</v>
      </c>
      <c r="B915" t="s">
        <v>7</v>
      </c>
      <c r="C915" s="3">
        <v>364713.07115103601</v>
      </c>
      <c r="D915" s="3">
        <v>36247.919999999998</v>
      </c>
      <c r="E915" s="3">
        <v>236210.821203745</v>
      </c>
      <c r="F915" s="3">
        <v>503584.03100784501</v>
      </c>
      <c r="G915" s="1">
        <v>44865</v>
      </c>
      <c r="H915" s="2">
        <v>44256</v>
      </c>
    </row>
    <row r="916" spans="1:8" hidden="1" x14ac:dyDescent="0.45">
      <c r="A916">
        <v>914</v>
      </c>
      <c r="B916" t="s">
        <v>7</v>
      </c>
      <c r="C916" s="3">
        <v>102837.000370458</v>
      </c>
      <c r="D916" s="3">
        <v>14721.48</v>
      </c>
      <c r="E916" s="3">
        <v>40539.396390045396</v>
      </c>
      <c r="F916" s="3">
        <v>171591.12919643399</v>
      </c>
      <c r="G916" s="1">
        <v>44865</v>
      </c>
      <c r="H916" s="2">
        <v>44287</v>
      </c>
    </row>
    <row r="917" spans="1:8" hidden="1" x14ac:dyDescent="0.45">
      <c r="A917">
        <v>915</v>
      </c>
      <c r="B917" t="s">
        <v>7</v>
      </c>
      <c r="C917" s="3">
        <v>189798.06352020099</v>
      </c>
      <c r="D917" s="3">
        <v>94346.71</v>
      </c>
      <c r="E917" s="3">
        <v>96320.886277179001</v>
      </c>
      <c r="F917" s="3">
        <v>292390.31982030103</v>
      </c>
      <c r="G917" s="1">
        <v>44865</v>
      </c>
      <c r="H917" s="2">
        <v>44317</v>
      </c>
    </row>
    <row r="918" spans="1:8" hidden="1" x14ac:dyDescent="0.45">
      <c r="A918">
        <v>916</v>
      </c>
      <c r="B918" t="s">
        <v>7</v>
      </c>
      <c r="C918" s="3">
        <v>534754.53142388898</v>
      </c>
      <c r="D918" s="3">
        <v>970740.72</v>
      </c>
      <c r="E918" s="3">
        <v>320999.96870042902</v>
      </c>
      <c r="F918" s="3">
        <v>752560.13218478905</v>
      </c>
      <c r="G918" s="1">
        <v>44865</v>
      </c>
      <c r="H918" s="2">
        <v>44348</v>
      </c>
    </row>
    <row r="919" spans="1:8" hidden="1" x14ac:dyDescent="0.45">
      <c r="A919">
        <v>917</v>
      </c>
      <c r="B919" t="s">
        <v>7</v>
      </c>
      <c r="C919" s="3">
        <v>1191429.35263805</v>
      </c>
      <c r="D919" s="3">
        <v>1798271.24</v>
      </c>
      <c r="E919" s="3">
        <v>793252.90785687801</v>
      </c>
      <c r="F919" s="3">
        <v>1589175.88381037</v>
      </c>
      <c r="G919" s="1">
        <v>44865</v>
      </c>
      <c r="H919" s="2">
        <v>44378</v>
      </c>
    </row>
    <row r="920" spans="1:8" hidden="1" x14ac:dyDescent="0.45">
      <c r="A920">
        <v>918</v>
      </c>
      <c r="B920" t="s">
        <v>7</v>
      </c>
      <c r="C920" s="3">
        <v>1044688.95173745</v>
      </c>
      <c r="D920" s="3">
        <v>700449.31</v>
      </c>
      <c r="E920" s="3">
        <v>674668.77236583305</v>
      </c>
      <c r="F920" s="3">
        <v>1450716.4123144101</v>
      </c>
      <c r="G920" s="1">
        <v>44865</v>
      </c>
      <c r="H920" s="2">
        <v>44409</v>
      </c>
    </row>
    <row r="921" spans="1:8" hidden="1" x14ac:dyDescent="0.45">
      <c r="A921">
        <v>919</v>
      </c>
      <c r="B921" t="s">
        <v>7</v>
      </c>
      <c r="C921" s="3">
        <v>1151283.95246113</v>
      </c>
      <c r="D921" s="3">
        <v>1784906.52</v>
      </c>
      <c r="E921" s="3">
        <v>722022.19835330604</v>
      </c>
      <c r="F921" s="3">
        <v>1607828.2307186499</v>
      </c>
      <c r="G921" s="1">
        <v>44865</v>
      </c>
      <c r="H921" s="2">
        <v>44440</v>
      </c>
    </row>
    <row r="922" spans="1:8" hidden="1" x14ac:dyDescent="0.45">
      <c r="A922">
        <v>920</v>
      </c>
      <c r="B922" t="s">
        <v>7</v>
      </c>
      <c r="C922" s="3">
        <v>932500.84424653405</v>
      </c>
      <c r="D922" s="3">
        <v>706422.77</v>
      </c>
      <c r="E922" s="3">
        <v>549071.41282850096</v>
      </c>
      <c r="F922" s="3">
        <v>1330982.9727048599</v>
      </c>
      <c r="G922" s="1">
        <v>44865</v>
      </c>
      <c r="H922" s="2">
        <v>44470</v>
      </c>
    </row>
    <row r="923" spans="1:8" hidden="1" x14ac:dyDescent="0.45">
      <c r="A923">
        <v>921</v>
      </c>
      <c r="B923" t="s">
        <v>7</v>
      </c>
      <c r="C923" s="3">
        <v>2477065.3148058001</v>
      </c>
      <c r="D923" s="3">
        <v>3115611.92</v>
      </c>
      <c r="E923" s="3">
        <v>1742366.3979090501</v>
      </c>
      <c r="F923" s="3">
        <v>3229087.19003203</v>
      </c>
      <c r="G923" s="1">
        <v>44865</v>
      </c>
      <c r="H923" s="2">
        <v>44501</v>
      </c>
    </row>
    <row r="924" spans="1:8" hidden="1" x14ac:dyDescent="0.45">
      <c r="A924">
        <v>922</v>
      </c>
      <c r="B924" t="s">
        <v>7</v>
      </c>
      <c r="C924" s="3">
        <v>635418.05660174496</v>
      </c>
      <c r="D924" s="3">
        <v>227049.91</v>
      </c>
      <c r="E924" s="3">
        <v>296010.86567345401</v>
      </c>
      <c r="F924" s="3">
        <v>1017456.73644921</v>
      </c>
      <c r="G924" s="1">
        <v>44865</v>
      </c>
      <c r="H924" s="2">
        <v>44531</v>
      </c>
    </row>
    <row r="925" spans="1:8" hidden="1" x14ac:dyDescent="0.45">
      <c r="A925">
        <v>923</v>
      </c>
      <c r="B925" t="s">
        <v>7</v>
      </c>
      <c r="C925" s="3">
        <v>1285300.26666325</v>
      </c>
      <c r="D925" s="3">
        <v>1231496.1499999999</v>
      </c>
      <c r="E925" s="3">
        <v>760466.87950219202</v>
      </c>
      <c r="F925" s="3">
        <v>1882306.19153405</v>
      </c>
      <c r="G925" s="1">
        <v>44865</v>
      </c>
      <c r="H925" s="2">
        <v>44562</v>
      </c>
    </row>
    <row r="926" spans="1:8" hidden="1" x14ac:dyDescent="0.45">
      <c r="A926">
        <v>924</v>
      </c>
      <c r="B926" t="s">
        <v>7</v>
      </c>
      <c r="C926" s="3">
        <v>1025971.0628733</v>
      </c>
      <c r="D926" s="3">
        <v>1031231.86</v>
      </c>
      <c r="E926" s="3">
        <v>578642.60062647494</v>
      </c>
      <c r="F926" s="3">
        <v>1531631.74771312</v>
      </c>
      <c r="G926" s="1">
        <v>44865</v>
      </c>
      <c r="H926" s="2">
        <v>44593</v>
      </c>
    </row>
    <row r="927" spans="1:8" hidden="1" x14ac:dyDescent="0.45">
      <c r="A927">
        <v>925</v>
      </c>
      <c r="B927" t="s">
        <v>7</v>
      </c>
      <c r="C927" s="3">
        <v>2492663.5518439598</v>
      </c>
      <c r="D927" s="3">
        <v>2866780.02</v>
      </c>
      <c r="E927" s="3">
        <v>1698458.0452681801</v>
      </c>
      <c r="F927" s="3">
        <v>3329167.4979058802</v>
      </c>
      <c r="G927" s="1">
        <v>44865</v>
      </c>
      <c r="H927" s="2">
        <v>44621</v>
      </c>
    </row>
    <row r="928" spans="1:8" hidden="1" x14ac:dyDescent="0.45">
      <c r="A928">
        <v>926</v>
      </c>
      <c r="B928" t="s">
        <v>7</v>
      </c>
      <c r="C928" s="3">
        <v>469724.93126282701</v>
      </c>
      <c r="D928" s="3">
        <v>106305.83</v>
      </c>
      <c r="E928" s="3">
        <v>193300.203651124</v>
      </c>
      <c r="F928" s="3">
        <v>792916.974682239</v>
      </c>
      <c r="G928" s="1">
        <v>44865</v>
      </c>
      <c r="H928" s="2">
        <v>44652</v>
      </c>
    </row>
    <row r="929" spans="1:8" hidden="1" x14ac:dyDescent="0.45">
      <c r="A929">
        <v>927</v>
      </c>
      <c r="B929" t="s">
        <v>7</v>
      </c>
      <c r="C929" s="3">
        <v>785691.21854185301</v>
      </c>
      <c r="D929" s="3">
        <v>667164.73</v>
      </c>
      <c r="E929" s="3">
        <v>420497.72530730598</v>
      </c>
      <c r="F929" s="3">
        <v>1201619.9421945401</v>
      </c>
      <c r="G929" s="1">
        <v>44865</v>
      </c>
      <c r="H929" s="2">
        <v>44682</v>
      </c>
    </row>
    <row r="930" spans="1:8" hidden="1" x14ac:dyDescent="0.45">
      <c r="A930">
        <v>928</v>
      </c>
      <c r="B930" t="s">
        <v>7</v>
      </c>
      <c r="C930" s="3">
        <v>1327757.9435502701</v>
      </c>
      <c r="D930" s="3">
        <v>1398761.09</v>
      </c>
      <c r="E930" s="3">
        <v>779786.57829756697</v>
      </c>
      <c r="F930" s="3">
        <v>1920128.30706236</v>
      </c>
      <c r="G930" s="1">
        <v>44865</v>
      </c>
      <c r="H930" s="2">
        <v>44713</v>
      </c>
    </row>
    <row r="931" spans="1:8" hidden="1" x14ac:dyDescent="0.45">
      <c r="A931">
        <v>929</v>
      </c>
      <c r="B931" t="s">
        <v>7</v>
      </c>
      <c r="C931" s="3">
        <v>1349578.51146584</v>
      </c>
      <c r="D931" s="3">
        <v>931475.54</v>
      </c>
      <c r="E931" s="3">
        <v>784833.14119429502</v>
      </c>
      <c r="F931" s="3">
        <v>1934965.1354445301</v>
      </c>
      <c r="G931" s="1">
        <v>44865</v>
      </c>
      <c r="H931" s="2">
        <v>44743</v>
      </c>
    </row>
    <row r="932" spans="1:8" hidden="1" x14ac:dyDescent="0.45">
      <c r="A932">
        <v>930</v>
      </c>
      <c r="B932" t="s">
        <v>7</v>
      </c>
      <c r="C932" s="3">
        <v>1271195.28023011</v>
      </c>
      <c r="D932" s="3">
        <v>1335916.6499999999</v>
      </c>
      <c r="E932" s="3">
        <v>753936.92781918903</v>
      </c>
      <c r="F932" s="3">
        <v>1824146.77894405</v>
      </c>
      <c r="G932" s="1">
        <v>44865</v>
      </c>
      <c r="H932" s="2">
        <v>44774</v>
      </c>
    </row>
    <row r="933" spans="1:8" hidden="1" x14ac:dyDescent="0.45">
      <c r="A933">
        <v>931</v>
      </c>
      <c r="B933" t="s">
        <v>7</v>
      </c>
      <c r="C933" s="3">
        <v>1116273.4649866901</v>
      </c>
      <c r="D933" s="3">
        <v>976647.27</v>
      </c>
      <c r="E933" s="3">
        <v>650911.86630932195</v>
      </c>
      <c r="F933" s="3">
        <v>1641551.7016644301</v>
      </c>
      <c r="G933" s="1">
        <v>44865</v>
      </c>
      <c r="H933" s="2">
        <v>44805</v>
      </c>
    </row>
    <row r="934" spans="1:8" hidden="1" x14ac:dyDescent="0.45">
      <c r="A934">
        <v>932</v>
      </c>
      <c r="B934" t="s">
        <v>7</v>
      </c>
      <c r="C934" s="3">
        <v>928002.97756181704</v>
      </c>
      <c r="D934" s="3">
        <v>975982.86</v>
      </c>
      <c r="E934" s="3">
        <v>512571.84213020903</v>
      </c>
      <c r="F934" s="3">
        <v>1365790.3163926899</v>
      </c>
      <c r="G934" s="1">
        <v>44865</v>
      </c>
      <c r="H934" s="2">
        <v>44835</v>
      </c>
    </row>
    <row r="935" spans="1:8" hidden="1" x14ac:dyDescent="0.45">
      <c r="A935">
        <v>933</v>
      </c>
      <c r="B935" t="s">
        <v>8</v>
      </c>
      <c r="C935" s="3">
        <v>2553194.1781673599</v>
      </c>
      <c r="D935" s="3">
        <v>1929646.66</v>
      </c>
      <c r="E935" s="3">
        <v>1380126.8631017001</v>
      </c>
      <c r="F935" s="3">
        <v>3900072.41989455</v>
      </c>
      <c r="G935" s="1">
        <v>44865</v>
      </c>
      <c r="H935" s="2">
        <v>44866</v>
      </c>
    </row>
    <row r="936" spans="1:8" hidden="1" x14ac:dyDescent="0.45">
      <c r="A936">
        <v>934</v>
      </c>
      <c r="B936" t="s">
        <v>8</v>
      </c>
      <c r="C936" s="3">
        <v>518319.683456573</v>
      </c>
      <c r="D936" s="3">
        <v>323418.99</v>
      </c>
      <c r="E936" s="3">
        <v>209833.066183794</v>
      </c>
      <c r="F936" s="3">
        <v>867861.92379468703</v>
      </c>
      <c r="G936" s="1">
        <v>44865</v>
      </c>
      <c r="H936" s="2">
        <v>44896</v>
      </c>
    </row>
    <row r="937" spans="1:8" hidden="1" x14ac:dyDescent="0.45">
      <c r="A937">
        <v>935</v>
      </c>
      <c r="B937" t="s">
        <v>8</v>
      </c>
      <c r="C937" s="3">
        <v>1065959.07079834</v>
      </c>
      <c r="D937" s="3">
        <v>993063.51</v>
      </c>
      <c r="E937" s="3">
        <v>475389.365019763</v>
      </c>
      <c r="F937" s="3">
        <v>1691541.98160925</v>
      </c>
      <c r="G937" s="1">
        <v>44865</v>
      </c>
      <c r="H937" s="2">
        <v>44927</v>
      </c>
    </row>
    <row r="938" spans="1:8" hidden="1" x14ac:dyDescent="0.45">
      <c r="A938">
        <v>936</v>
      </c>
      <c r="B938" t="s">
        <v>8</v>
      </c>
      <c r="C938" s="3">
        <v>883291.50298297801</v>
      </c>
      <c r="D938" s="3">
        <v>910353.75</v>
      </c>
      <c r="E938" s="3">
        <v>417718.60982946999</v>
      </c>
      <c r="F938" s="3">
        <v>1393479.7486789001</v>
      </c>
      <c r="G938" s="1">
        <v>44865</v>
      </c>
      <c r="H938" s="2">
        <v>44958</v>
      </c>
    </row>
    <row r="939" spans="1:8" hidden="1" x14ac:dyDescent="0.45">
      <c r="A939">
        <v>937</v>
      </c>
      <c r="B939" t="s">
        <v>8</v>
      </c>
      <c r="C939" s="3">
        <v>2075426.6432046001</v>
      </c>
      <c r="D939" s="3">
        <v>552104.44999999995</v>
      </c>
      <c r="E939" s="3">
        <v>1207001.1804265401</v>
      </c>
      <c r="F939" s="3">
        <v>3026660.4673755402</v>
      </c>
      <c r="G939" s="1">
        <v>44865</v>
      </c>
      <c r="H939" s="2">
        <v>44986</v>
      </c>
    </row>
    <row r="940" spans="1:8" hidden="1" x14ac:dyDescent="0.45">
      <c r="A940">
        <v>938</v>
      </c>
      <c r="B940" t="s">
        <v>8</v>
      </c>
      <c r="C940" s="3">
        <v>340200.32717384701</v>
      </c>
      <c r="D940" s="3">
        <v>934832.56</v>
      </c>
      <c r="E940" s="3">
        <v>119383.863496511</v>
      </c>
      <c r="F940" s="3">
        <v>590580.60979876097</v>
      </c>
      <c r="G940" s="1">
        <v>44865</v>
      </c>
      <c r="H940" s="2">
        <v>45017</v>
      </c>
    </row>
    <row r="941" spans="1:8" hidden="1" x14ac:dyDescent="0.45">
      <c r="A941">
        <v>939</v>
      </c>
      <c r="B941" t="s">
        <v>8</v>
      </c>
      <c r="C941" s="3">
        <v>590954.05873612396</v>
      </c>
      <c r="D941" s="3">
        <v>950080.20999999903</v>
      </c>
      <c r="E941" s="3">
        <v>276227.78592801298</v>
      </c>
      <c r="F941" s="3">
        <v>936165.05836602196</v>
      </c>
      <c r="G941" s="1">
        <v>44865</v>
      </c>
      <c r="H941" s="2">
        <v>45047</v>
      </c>
    </row>
    <row r="942" spans="1:8" hidden="1" x14ac:dyDescent="0.45">
      <c r="A942">
        <v>940</v>
      </c>
      <c r="B942" t="s">
        <v>8</v>
      </c>
      <c r="C942" s="3">
        <v>1000172.28761813</v>
      </c>
      <c r="D942" s="3">
        <v>826160.22</v>
      </c>
      <c r="E942" s="3">
        <v>535981.95456066402</v>
      </c>
      <c r="F942" s="3">
        <v>1523127.9212078799</v>
      </c>
      <c r="G942" s="1">
        <v>44865</v>
      </c>
      <c r="H942" s="2">
        <v>45078</v>
      </c>
    </row>
    <row r="943" spans="1:8" hidden="1" x14ac:dyDescent="0.45">
      <c r="A943">
        <v>941</v>
      </c>
      <c r="B943" t="s">
        <v>8</v>
      </c>
      <c r="C943" s="3">
        <v>962867.16223482206</v>
      </c>
      <c r="D943" s="3">
        <v>841267.98</v>
      </c>
      <c r="E943" s="3">
        <v>517095.69372900901</v>
      </c>
      <c r="F943" s="3">
        <v>1465951.80189379</v>
      </c>
      <c r="G943" s="1">
        <v>44865</v>
      </c>
      <c r="H943" s="2">
        <v>45108</v>
      </c>
    </row>
    <row r="944" spans="1:8" hidden="1" x14ac:dyDescent="0.45">
      <c r="A944">
        <v>942</v>
      </c>
      <c r="B944" t="s">
        <v>8</v>
      </c>
      <c r="C944" s="3">
        <v>1005893.14315655</v>
      </c>
      <c r="D944" s="3">
        <v>874738.71</v>
      </c>
      <c r="E944" s="3">
        <v>546458.28463345906</v>
      </c>
      <c r="F944" s="3">
        <v>1509295.6165491999</v>
      </c>
      <c r="G944" s="1">
        <v>44865</v>
      </c>
      <c r="H944" s="2">
        <v>45139</v>
      </c>
    </row>
    <row r="945" spans="1:8" hidden="1" x14ac:dyDescent="0.45">
      <c r="A945">
        <v>943</v>
      </c>
      <c r="B945" t="s">
        <v>8</v>
      </c>
      <c r="C945" s="3">
        <v>840066.24914454203</v>
      </c>
      <c r="D945" s="3">
        <v>942048.13</v>
      </c>
      <c r="E945" s="3">
        <v>449924.69410961599</v>
      </c>
      <c r="F945" s="3">
        <v>1288105.6563585701</v>
      </c>
      <c r="G945" s="1">
        <v>44865</v>
      </c>
      <c r="H945" s="2">
        <v>45170</v>
      </c>
    </row>
    <row r="946" spans="1:8" hidden="1" x14ac:dyDescent="0.45">
      <c r="A946">
        <v>944</v>
      </c>
      <c r="B946" t="s">
        <v>8</v>
      </c>
      <c r="C946" s="3">
        <v>693362.36412717996</v>
      </c>
      <c r="D946" s="3">
        <v>842524.85</v>
      </c>
      <c r="E946" s="3">
        <v>381315.85816750798</v>
      </c>
      <c r="F946" s="3">
        <v>1041173.2018829701</v>
      </c>
      <c r="G946" s="1">
        <v>44865</v>
      </c>
      <c r="H946" s="2">
        <v>45200</v>
      </c>
    </row>
    <row r="947" spans="1:8" hidden="1" x14ac:dyDescent="0.45">
      <c r="A947">
        <v>945</v>
      </c>
      <c r="B947" t="s">
        <v>8</v>
      </c>
      <c r="C947" s="3">
        <v>1956380.9536832899</v>
      </c>
      <c r="D947" s="3">
        <v>1384521.9</v>
      </c>
      <c r="E947" s="3">
        <v>1028851.97565904</v>
      </c>
      <c r="F947" s="3">
        <v>3053814.4521667999</v>
      </c>
      <c r="G947" s="1">
        <v>44865</v>
      </c>
      <c r="H947" s="2">
        <v>45231</v>
      </c>
    </row>
    <row r="948" spans="1:8" hidden="1" x14ac:dyDescent="0.45">
      <c r="A948">
        <v>946</v>
      </c>
      <c r="B948" t="s">
        <v>8</v>
      </c>
      <c r="C948" s="3">
        <v>417317.71274950798</v>
      </c>
      <c r="D948" s="3">
        <v>598586.89999999898</v>
      </c>
      <c r="E948" s="3">
        <v>163473.25876589899</v>
      </c>
      <c r="F948" s="3">
        <v>709924.35620791395</v>
      </c>
      <c r="G948" s="1">
        <v>44865</v>
      </c>
      <c r="H948" s="2">
        <v>45261</v>
      </c>
    </row>
    <row r="949" spans="1:8" hidden="1" x14ac:dyDescent="0.45">
      <c r="A949">
        <v>947</v>
      </c>
      <c r="B949" t="s">
        <v>8</v>
      </c>
      <c r="C949" s="3">
        <v>855636.58274311095</v>
      </c>
      <c r="D949" s="3">
        <v>949367.8</v>
      </c>
      <c r="E949" s="3">
        <v>377185.95371873002</v>
      </c>
      <c r="F949" s="3">
        <v>1387244.8663136901</v>
      </c>
      <c r="G949" s="1">
        <v>44865</v>
      </c>
      <c r="H949" s="2">
        <v>45292</v>
      </c>
    </row>
    <row r="950" spans="1:8" hidden="1" x14ac:dyDescent="0.45">
      <c r="A950">
        <v>948</v>
      </c>
      <c r="B950" t="s">
        <v>8</v>
      </c>
      <c r="C950" s="3">
        <v>716470.09199000499</v>
      </c>
      <c r="D950" s="3">
        <v>629485.07999999996</v>
      </c>
      <c r="E950" s="3">
        <v>332239.36463022197</v>
      </c>
      <c r="F950" s="3">
        <v>1157759.9546616201</v>
      </c>
      <c r="G950" s="1">
        <v>44865</v>
      </c>
      <c r="H950" s="2">
        <v>45323</v>
      </c>
    </row>
    <row r="951" spans="1:8" hidden="1" x14ac:dyDescent="0.45">
      <c r="A951">
        <v>949</v>
      </c>
      <c r="B951" t="s">
        <v>8</v>
      </c>
      <c r="C951" s="3">
        <v>1650527.6165495401</v>
      </c>
      <c r="D951" s="3">
        <v>632744.21</v>
      </c>
      <c r="E951" s="3">
        <v>940114.55437416595</v>
      </c>
      <c r="F951" s="3">
        <v>2423277.8749532499</v>
      </c>
      <c r="G951" s="1">
        <v>44865</v>
      </c>
      <c r="H951" s="2">
        <v>45352</v>
      </c>
    </row>
    <row r="952" spans="1:8" hidden="1" x14ac:dyDescent="0.45">
      <c r="A952">
        <v>950</v>
      </c>
      <c r="B952" t="s">
        <v>8</v>
      </c>
      <c r="C952" s="3">
        <v>278019.04469335597</v>
      </c>
      <c r="D952" s="3">
        <v>982612.04</v>
      </c>
      <c r="E952" s="3">
        <v>98358.541428833298</v>
      </c>
      <c r="F952" s="3">
        <v>488915.16767712001</v>
      </c>
      <c r="G952" s="1">
        <v>44865</v>
      </c>
      <c r="H952" s="2">
        <v>45383</v>
      </c>
    </row>
    <row r="953" spans="1:8" hidden="1" x14ac:dyDescent="0.45">
      <c r="A953">
        <v>951</v>
      </c>
      <c r="B953" t="s">
        <v>8</v>
      </c>
      <c r="C953" s="3">
        <v>482152.07909447898</v>
      </c>
      <c r="D953" s="3">
        <v>527751.22</v>
      </c>
      <c r="E953" s="3">
        <v>229149.56457599401</v>
      </c>
      <c r="F953" s="3">
        <v>773881.37546335696</v>
      </c>
      <c r="G953" s="1">
        <v>44865</v>
      </c>
      <c r="H953" s="2">
        <v>45413</v>
      </c>
    </row>
    <row r="954" spans="1:8" hidden="1" x14ac:dyDescent="0.45">
      <c r="A954">
        <v>952</v>
      </c>
      <c r="B954" t="s">
        <v>8</v>
      </c>
      <c r="C954" s="3">
        <v>821266.84612963104</v>
      </c>
      <c r="D954" s="3">
        <v>558425.93999999994</v>
      </c>
      <c r="E954" s="3">
        <v>440128.344528538</v>
      </c>
      <c r="F954" s="3">
        <v>1247873.8817168199</v>
      </c>
      <c r="G954" s="1">
        <v>44865</v>
      </c>
      <c r="H954" s="2">
        <v>45444</v>
      </c>
    </row>
    <row r="955" spans="1:8" hidden="1" x14ac:dyDescent="0.45">
      <c r="A955">
        <v>953</v>
      </c>
      <c r="B955" t="s">
        <v>8</v>
      </c>
      <c r="C955" s="3">
        <v>791694.90594125004</v>
      </c>
      <c r="D955" s="3">
        <v>611402.02999999898</v>
      </c>
      <c r="E955" s="3">
        <v>426683.98477499298</v>
      </c>
      <c r="F955" s="3">
        <v>1199762.9711756799</v>
      </c>
      <c r="G955" s="1">
        <v>44865</v>
      </c>
      <c r="H955" s="2">
        <v>45474</v>
      </c>
    </row>
    <row r="956" spans="1:8" hidden="1" x14ac:dyDescent="0.45">
      <c r="A956">
        <v>954</v>
      </c>
      <c r="B956" t="s">
        <v>8</v>
      </c>
      <c r="C956" s="3">
        <v>822728.72310116398</v>
      </c>
      <c r="D956" s="3">
        <v>567295.76999999897</v>
      </c>
      <c r="E956" s="3">
        <v>444233.49310030101</v>
      </c>
      <c r="F956" s="3">
        <v>1237459.43933081</v>
      </c>
      <c r="G956" s="1">
        <v>44865</v>
      </c>
      <c r="H956" s="2">
        <v>45505</v>
      </c>
    </row>
    <row r="957" spans="1:8" hidden="1" x14ac:dyDescent="0.45">
      <c r="A957">
        <v>955</v>
      </c>
      <c r="B957" t="s">
        <v>8</v>
      </c>
      <c r="C957" s="3">
        <v>692283.03689692903</v>
      </c>
      <c r="D957" s="3">
        <v>1040119.33</v>
      </c>
      <c r="E957" s="3">
        <v>365834.69096822501</v>
      </c>
      <c r="F957" s="3">
        <v>1054179.91384751</v>
      </c>
      <c r="G957" s="1">
        <v>44865</v>
      </c>
      <c r="H957" s="2">
        <v>45536</v>
      </c>
    </row>
    <row r="958" spans="1:8" hidden="1" x14ac:dyDescent="0.45">
      <c r="A958">
        <v>956</v>
      </c>
      <c r="B958" t="s">
        <v>8</v>
      </c>
      <c r="C958" s="3">
        <v>567820.86833375995</v>
      </c>
      <c r="D958" s="3">
        <v>421452.1</v>
      </c>
      <c r="E958" s="3">
        <v>306926.04191115202</v>
      </c>
      <c r="F958" s="3">
        <v>844178.10832172399</v>
      </c>
      <c r="G958" s="1">
        <v>44865</v>
      </c>
      <c r="H958" s="2">
        <v>45566</v>
      </c>
    </row>
    <row r="959" spans="1:8" hidden="1" x14ac:dyDescent="0.45">
      <c r="A959">
        <v>957</v>
      </c>
      <c r="B959" t="s">
        <v>8</v>
      </c>
      <c r="C959" s="3">
        <v>1597061.2645252901</v>
      </c>
      <c r="D959" s="3"/>
      <c r="E959" s="3">
        <v>848748.12167982105</v>
      </c>
      <c r="F959" s="3">
        <v>2477095.0905974801</v>
      </c>
      <c r="G959" s="1">
        <v>44865</v>
      </c>
      <c r="H959" s="2">
        <v>45597</v>
      </c>
    </row>
    <row r="960" spans="1:8" hidden="1" x14ac:dyDescent="0.45">
      <c r="A960">
        <v>958</v>
      </c>
      <c r="B960" t="s">
        <v>8</v>
      </c>
      <c r="C960" s="3">
        <v>343192.08562685398</v>
      </c>
      <c r="D960" s="3"/>
      <c r="E960" s="3">
        <v>134653.35884314601</v>
      </c>
      <c r="F960" s="3">
        <v>580100.94507804303</v>
      </c>
      <c r="G960" s="1">
        <v>44865</v>
      </c>
      <c r="H960" s="2">
        <v>45627</v>
      </c>
    </row>
    <row r="961" spans="1:8" hidden="1" x14ac:dyDescent="0.45">
      <c r="A961">
        <v>959</v>
      </c>
      <c r="B961" t="s">
        <v>8</v>
      </c>
      <c r="C961" s="3">
        <v>704616.63311147597</v>
      </c>
      <c r="D961" s="3"/>
      <c r="E961" s="3">
        <v>312017.33202444698</v>
      </c>
      <c r="F961" s="3">
        <v>1138592.1831883099</v>
      </c>
      <c r="G961" s="1">
        <v>44865</v>
      </c>
      <c r="H961" s="2">
        <v>45658</v>
      </c>
    </row>
    <row r="962" spans="1:8" hidden="1" x14ac:dyDescent="0.45">
      <c r="A962">
        <v>960</v>
      </c>
      <c r="B962" t="s">
        <v>8</v>
      </c>
      <c r="C962" s="3">
        <v>588037.47656559804</v>
      </c>
      <c r="D962" s="3"/>
      <c r="E962" s="3">
        <v>277231.19580412703</v>
      </c>
      <c r="F962" s="3">
        <v>950206.89443706302</v>
      </c>
      <c r="G962" s="1">
        <v>44865</v>
      </c>
      <c r="H962" s="2">
        <v>45689</v>
      </c>
    </row>
    <row r="963" spans="1:8" hidden="1" x14ac:dyDescent="0.45">
      <c r="A963">
        <v>961</v>
      </c>
      <c r="B963" t="s">
        <v>8</v>
      </c>
      <c r="C963" s="3">
        <v>1345426.3122189399</v>
      </c>
      <c r="D963" s="3"/>
      <c r="E963" s="3">
        <v>778528.62619414099</v>
      </c>
      <c r="F963" s="3">
        <v>1974085.9505040899</v>
      </c>
      <c r="G963" s="1">
        <v>44865</v>
      </c>
      <c r="H963" s="2">
        <v>45717</v>
      </c>
    </row>
    <row r="964" spans="1:8" hidden="1" x14ac:dyDescent="0.45">
      <c r="A964">
        <v>962</v>
      </c>
      <c r="B964" t="s">
        <v>8</v>
      </c>
      <c r="C964" s="3">
        <v>229788.65512214499</v>
      </c>
      <c r="D964" s="3"/>
      <c r="E964" s="3">
        <v>84590.440043409704</v>
      </c>
      <c r="F964" s="3">
        <v>405070.33395832201</v>
      </c>
      <c r="G964" s="1">
        <v>44865</v>
      </c>
      <c r="H964" s="2">
        <v>45748</v>
      </c>
    </row>
    <row r="965" spans="1:8" hidden="1" x14ac:dyDescent="0.45">
      <c r="A965">
        <v>963</v>
      </c>
      <c r="B965" t="s">
        <v>8</v>
      </c>
      <c r="C965" s="3">
        <v>398032.67708347598</v>
      </c>
      <c r="D965" s="3"/>
      <c r="E965" s="3">
        <v>188480.41773935099</v>
      </c>
      <c r="F965" s="3">
        <v>637640.78532284603</v>
      </c>
      <c r="G965" s="1">
        <v>44865</v>
      </c>
      <c r="H965" s="2">
        <v>45778</v>
      </c>
    </row>
    <row r="966" spans="1:8" hidden="1" x14ac:dyDescent="0.45">
      <c r="A966">
        <v>964</v>
      </c>
      <c r="B966" t="s">
        <v>8</v>
      </c>
      <c r="C966" s="3">
        <v>683684.06207672204</v>
      </c>
      <c r="D966" s="3"/>
      <c r="E966" s="3">
        <v>371658.86227068899</v>
      </c>
      <c r="F966" s="3">
        <v>1037799.2419352999</v>
      </c>
      <c r="G966" s="1">
        <v>44865</v>
      </c>
      <c r="H966" s="2">
        <v>45809</v>
      </c>
    </row>
    <row r="967" spans="1:8" hidden="1" x14ac:dyDescent="0.45">
      <c r="A967">
        <v>965</v>
      </c>
      <c r="B967" t="s">
        <v>8</v>
      </c>
      <c r="C967" s="3">
        <v>660091.59362864296</v>
      </c>
      <c r="D967" s="3"/>
      <c r="E967" s="3">
        <v>352592.59308165801</v>
      </c>
      <c r="F967" s="3">
        <v>992880.17735423998</v>
      </c>
      <c r="G967" s="1">
        <v>44865</v>
      </c>
      <c r="H967" s="2">
        <v>45839</v>
      </c>
    </row>
    <row r="968" spans="1:8" hidden="1" x14ac:dyDescent="0.45">
      <c r="A968">
        <v>966</v>
      </c>
      <c r="B968" t="s">
        <v>8</v>
      </c>
      <c r="C968" s="3">
        <v>679416.40391889797</v>
      </c>
      <c r="D968" s="3"/>
      <c r="E968" s="3">
        <v>374335.308590359</v>
      </c>
      <c r="F968" s="3">
        <v>1023415.65160035</v>
      </c>
      <c r="G968" s="1">
        <v>44865</v>
      </c>
      <c r="H968" s="2">
        <v>45870</v>
      </c>
    </row>
    <row r="969" spans="1:8" hidden="1" x14ac:dyDescent="0.45">
      <c r="A969">
        <v>967</v>
      </c>
      <c r="B969" t="s">
        <v>8</v>
      </c>
      <c r="C969" s="3">
        <v>576108.07621782401</v>
      </c>
      <c r="D969" s="3"/>
      <c r="E969" s="3">
        <v>310001.37063320301</v>
      </c>
      <c r="F969" s="3">
        <v>878327.97361253598</v>
      </c>
      <c r="G969" s="1">
        <v>44865</v>
      </c>
      <c r="H969" s="2">
        <v>45901</v>
      </c>
    </row>
    <row r="970" spans="1:8" hidden="1" x14ac:dyDescent="0.45">
      <c r="A970">
        <v>968</v>
      </c>
      <c r="B970" t="s">
        <v>8</v>
      </c>
      <c r="C970" s="3">
        <v>470353.138379379</v>
      </c>
      <c r="D970" s="3"/>
      <c r="E970" s="3">
        <v>254365.34330509001</v>
      </c>
      <c r="F970" s="3">
        <v>699709.80032091797</v>
      </c>
      <c r="G970" s="1">
        <v>44865</v>
      </c>
      <c r="H970" s="2">
        <v>45931</v>
      </c>
    </row>
    <row r="971" spans="1:8" hidden="1" x14ac:dyDescent="0.45">
      <c r="A971">
        <v>969</v>
      </c>
      <c r="B971" t="s">
        <v>7</v>
      </c>
      <c r="C971" s="3">
        <v>155949.12735086901</v>
      </c>
      <c r="D971" s="3">
        <v>28250.62</v>
      </c>
      <c r="E971" s="3">
        <v>91273.266199774298</v>
      </c>
      <c r="F971" s="3">
        <v>233899.855726782</v>
      </c>
      <c r="G971" s="1">
        <v>44895</v>
      </c>
      <c r="H971" s="2">
        <v>44228</v>
      </c>
    </row>
    <row r="972" spans="1:8" hidden="1" x14ac:dyDescent="0.45">
      <c r="A972">
        <v>970</v>
      </c>
      <c r="B972" t="s">
        <v>7</v>
      </c>
      <c r="C972" s="3">
        <v>376510.43304434197</v>
      </c>
      <c r="D972" s="3">
        <v>36247.919999999998</v>
      </c>
      <c r="E972" s="3">
        <v>238955.97305495999</v>
      </c>
      <c r="F972" s="3">
        <v>500253.68675686402</v>
      </c>
      <c r="G972" s="1">
        <v>44895</v>
      </c>
      <c r="H972" s="2">
        <v>44256</v>
      </c>
    </row>
    <row r="973" spans="1:8" hidden="1" x14ac:dyDescent="0.45">
      <c r="A973">
        <v>971</v>
      </c>
      <c r="B973" t="s">
        <v>7</v>
      </c>
      <c r="C973" s="3">
        <v>106965.15158366</v>
      </c>
      <c r="D973" s="3">
        <v>14721.48</v>
      </c>
      <c r="E973" s="3">
        <v>47498.408780726997</v>
      </c>
      <c r="F973" s="3">
        <v>174707.228294111</v>
      </c>
      <c r="G973" s="1">
        <v>44895</v>
      </c>
      <c r="H973" s="2">
        <v>44287</v>
      </c>
    </row>
    <row r="974" spans="1:8" hidden="1" x14ac:dyDescent="0.45">
      <c r="A974">
        <v>972</v>
      </c>
      <c r="B974" t="s">
        <v>7</v>
      </c>
      <c r="C974" s="3">
        <v>194786.75186500399</v>
      </c>
      <c r="D974" s="3">
        <v>94346.71</v>
      </c>
      <c r="E974" s="3">
        <v>107382.439899187</v>
      </c>
      <c r="F974" s="3">
        <v>288047.29266733502</v>
      </c>
      <c r="G974" s="1">
        <v>44895</v>
      </c>
      <c r="H974" s="2">
        <v>44317</v>
      </c>
    </row>
    <row r="975" spans="1:8" hidden="1" x14ac:dyDescent="0.45">
      <c r="A975">
        <v>973</v>
      </c>
      <c r="B975" t="s">
        <v>7</v>
      </c>
      <c r="C975" s="3">
        <v>520420.697384906</v>
      </c>
      <c r="D975" s="3">
        <v>970740.72</v>
      </c>
      <c r="E975" s="3">
        <v>338238.93810981198</v>
      </c>
      <c r="F975" s="3">
        <v>727258.19214931596</v>
      </c>
      <c r="G975" s="1">
        <v>44895</v>
      </c>
      <c r="H975" s="2">
        <v>44348</v>
      </c>
    </row>
    <row r="976" spans="1:8" hidden="1" x14ac:dyDescent="0.45">
      <c r="A976">
        <v>974</v>
      </c>
      <c r="B976" t="s">
        <v>7</v>
      </c>
      <c r="C976" s="3">
        <v>1145905.0185719</v>
      </c>
      <c r="D976" s="3">
        <v>1798271.24</v>
      </c>
      <c r="E976" s="3">
        <v>796835.01088450605</v>
      </c>
      <c r="F976" s="3">
        <v>1516349.62216657</v>
      </c>
      <c r="G976" s="1">
        <v>44895</v>
      </c>
      <c r="H976" s="2">
        <v>44378</v>
      </c>
    </row>
    <row r="977" spans="1:8" hidden="1" x14ac:dyDescent="0.45">
      <c r="A977">
        <v>975</v>
      </c>
      <c r="B977" t="s">
        <v>7</v>
      </c>
      <c r="C977" s="3">
        <v>1061961.5108085701</v>
      </c>
      <c r="D977" s="3">
        <v>700449.31</v>
      </c>
      <c r="E977" s="3">
        <v>697746.499897731</v>
      </c>
      <c r="F977" s="3">
        <v>1453415.3732554701</v>
      </c>
      <c r="G977" s="1">
        <v>44895</v>
      </c>
      <c r="H977" s="2">
        <v>44409</v>
      </c>
    </row>
    <row r="978" spans="1:8" hidden="1" x14ac:dyDescent="0.45">
      <c r="A978">
        <v>976</v>
      </c>
      <c r="B978" t="s">
        <v>7</v>
      </c>
      <c r="C978" s="3">
        <v>1155428.1636993401</v>
      </c>
      <c r="D978" s="3">
        <v>1784906.52</v>
      </c>
      <c r="E978" s="3">
        <v>753791.46037955501</v>
      </c>
      <c r="F978" s="3">
        <v>1556140.8216274099</v>
      </c>
      <c r="G978" s="1">
        <v>44895</v>
      </c>
      <c r="H978" s="2">
        <v>44440</v>
      </c>
    </row>
    <row r="979" spans="1:8" hidden="1" x14ac:dyDescent="0.45">
      <c r="A979">
        <v>977</v>
      </c>
      <c r="B979" t="s">
        <v>7</v>
      </c>
      <c r="C979" s="3">
        <v>935701.01309118001</v>
      </c>
      <c r="D979" s="3">
        <v>706422.77</v>
      </c>
      <c r="E979" s="3">
        <v>598869.22188255505</v>
      </c>
      <c r="F979" s="3">
        <v>1281945.51239907</v>
      </c>
      <c r="G979" s="1">
        <v>44895</v>
      </c>
      <c r="H979" s="2">
        <v>44470</v>
      </c>
    </row>
    <row r="980" spans="1:8" hidden="1" x14ac:dyDescent="0.45">
      <c r="A980">
        <v>978</v>
      </c>
      <c r="B980" t="s">
        <v>7</v>
      </c>
      <c r="C980" s="3">
        <v>2254782.3460770301</v>
      </c>
      <c r="D980" s="3">
        <v>3115611.92</v>
      </c>
      <c r="E980" s="3">
        <v>1654197.6167257801</v>
      </c>
      <c r="F980" s="3">
        <v>2883848.0362919201</v>
      </c>
      <c r="G980" s="1">
        <v>44895</v>
      </c>
      <c r="H980" s="2">
        <v>44501</v>
      </c>
    </row>
    <row r="981" spans="1:8" hidden="1" x14ac:dyDescent="0.45">
      <c r="A981">
        <v>979</v>
      </c>
      <c r="B981" t="s">
        <v>7</v>
      </c>
      <c r="C981" s="3">
        <v>689598.295762836</v>
      </c>
      <c r="D981" s="3">
        <v>227049.91</v>
      </c>
      <c r="E981" s="3">
        <v>354588.79251846299</v>
      </c>
      <c r="F981" s="3">
        <v>1073967.7807106399</v>
      </c>
      <c r="G981" s="1">
        <v>44895</v>
      </c>
      <c r="H981" s="2">
        <v>44531</v>
      </c>
    </row>
    <row r="982" spans="1:8" hidden="1" x14ac:dyDescent="0.45">
      <c r="A982">
        <v>980</v>
      </c>
      <c r="B982" t="s">
        <v>7</v>
      </c>
      <c r="C982" s="3">
        <v>1261239.7034453</v>
      </c>
      <c r="D982" s="3">
        <v>1231496.1499999999</v>
      </c>
      <c r="E982" s="3">
        <v>761689.34483841294</v>
      </c>
      <c r="F982" s="3">
        <v>1814581.8520200099</v>
      </c>
      <c r="G982" s="1">
        <v>44895</v>
      </c>
      <c r="H982" s="2">
        <v>44562</v>
      </c>
    </row>
    <row r="983" spans="1:8" hidden="1" x14ac:dyDescent="0.45">
      <c r="A983">
        <v>981</v>
      </c>
      <c r="B983" t="s">
        <v>7</v>
      </c>
      <c r="C983" s="3">
        <v>1042553.69743579</v>
      </c>
      <c r="D983" s="3">
        <v>1031231.86</v>
      </c>
      <c r="E983" s="3">
        <v>595217.77584650705</v>
      </c>
      <c r="F983" s="3">
        <v>1514746.3812528001</v>
      </c>
      <c r="G983" s="1">
        <v>44895</v>
      </c>
      <c r="H983" s="2">
        <v>44593</v>
      </c>
    </row>
    <row r="984" spans="1:8" hidden="1" x14ac:dyDescent="0.45">
      <c r="A984">
        <v>982</v>
      </c>
      <c r="B984" t="s">
        <v>7</v>
      </c>
      <c r="C984" s="3">
        <v>2439777.6253306698</v>
      </c>
      <c r="D984" s="3">
        <v>2866780.02</v>
      </c>
      <c r="E984" s="3">
        <v>1698423.0032607301</v>
      </c>
      <c r="F984" s="3">
        <v>3212013.9820673899</v>
      </c>
      <c r="G984" s="1">
        <v>44895</v>
      </c>
      <c r="H984" s="2">
        <v>44621</v>
      </c>
    </row>
    <row r="985" spans="1:8" hidden="1" x14ac:dyDescent="0.45">
      <c r="A985">
        <v>983</v>
      </c>
      <c r="B985" t="s">
        <v>7</v>
      </c>
      <c r="C985" s="3">
        <v>511088.48016590101</v>
      </c>
      <c r="D985" s="3">
        <v>106305.83</v>
      </c>
      <c r="E985" s="3">
        <v>229222.402555187</v>
      </c>
      <c r="F985" s="3">
        <v>829970.56650443398</v>
      </c>
      <c r="G985" s="1">
        <v>44895</v>
      </c>
      <c r="H985" s="2">
        <v>44652</v>
      </c>
    </row>
    <row r="986" spans="1:8" hidden="1" x14ac:dyDescent="0.45">
      <c r="A986">
        <v>984</v>
      </c>
      <c r="B986" t="s">
        <v>7</v>
      </c>
      <c r="C986" s="3">
        <v>802626.05768301606</v>
      </c>
      <c r="D986" s="3">
        <v>667164.73</v>
      </c>
      <c r="E986" s="3">
        <v>437754.86565385002</v>
      </c>
      <c r="F986" s="3">
        <v>1205557.0653001501</v>
      </c>
      <c r="G986" s="1">
        <v>44895</v>
      </c>
      <c r="H986" s="2">
        <v>44682</v>
      </c>
    </row>
    <row r="987" spans="1:8" hidden="1" x14ac:dyDescent="0.45">
      <c r="A987">
        <v>985</v>
      </c>
      <c r="B987" t="s">
        <v>7</v>
      </c>
      <c r="C987" s="3">
        <v>1332626.7574501699</v>
      </c>
      <c r="D987" s="3">
        <v>1398761.09</v>
      </c>
      <c r="E987" s="3">
        <v>817566.81704905804</v>
      </c>
      <c r="F987" s="3">
        <v>1875002.82537358</v>
      </c>
      <c r="G987" s="1">
        <v>44895</v>
      </c>
      <c r="H987" s="2">
        <v>44713</v>
      </c>
    </row>
    <row r="988" spans="1:8" hidden="1" x14ac:dyDescent="0.45">
      <c r="A988">
        <v>986</v>
      </c>
      <c r="B988" t="s">
        <v>7</v>
      </c>
      <c r="C988" s="3">
        <v>1385783.21991341</v>
      </c>
      <c r="D988" s="3">
        <v>931475.54</v>
      </c>
      <c r="E988" s="3">
        <v>857737.84105308598</v>
      </c>
      <c r="F988" s="3">
        <v>1959289.26954135</v>
      </c>
      <c r="G988" s="1">
        <v>44895</v>
      </c>
      <c r="H988" s="2">
        <v>44743</v>
      </c>
    </row>
    <row r="989" spans="1:8" hidden="1" x14ac:dyDescent="0.45">
      <c r="A989">
        <v>987</v>
      </c>
      <c r="B989" t="s">
        <v>7</v>
      </c>
      <c r="C989" s="3">
        <v>1252177.1551403999</v>
      </c>
      <c r="D989" s="3">
        <v>1335916.6499999999</v>
      </c>
      <c r="E989" s="3">
        <v>788190.49481604004</v>
      </c>
      <c r="F989" s="3">
        <v>1764991.0762632799</v>
      </c>
      <c r="G989" s="1">
        <v>44895</v>
      </c>
      <c r="H989" s="2">
        <v>44774</v>
      </c>
    </row>
    <row r="990" spans="1:8" hidden="1" x14ac:dyDescent="0.45">
      <c r="A990">
        <v>988</v>
      </c>
      <c r="B990" t="s">
        <v>7</v>
      </c>
      <c r="C990" s="3">
        <v>1119035.9751422999</v>
      </c>
      <c r="D990" s="3">
        <v>976647.27</v>
      </c>
      <c r="E990" s="3">
        <v>682315.01507802703</v>
      </c>
      <c r="F990" s="3">
        <v>1597397.1013759701</v>
      </c>
      <c r="G990" s="1">
        <v>44895</v>
      </c>
      <c r="H990" s="2">
        <v>44805</v>
      </c>
    </row>
    <row r="991" spans="1:8" hidden="1" x14ac:dyDescent="0.45">
      <c r="A991">
        <v>989</v>
      </c>
      <c r="B991" t="s">
        <v>7</v>
      </c>
      <c r="C991" s="3">
        <v>940940.83401804895</v>
      </c>
      <c r="D991" s="3">
        <v>975982.86</v>
      </c>
      <c r="E991" s="3">
        <v>556889.70277159498</v>
      </c>
      <c r="F991" s="3">
        <v>1358907.07861541</v>
      </c>
      <c r="G991" s="1">
        <v>44895</v>
      </c>
      <c r="H991" s="2">
        <v>44835</v>
      </c>
    </row>
    <row r="992" spans="1:8" hidden="1" x14ac:dyDescent="0.45">
      <c r="A992">
        <v>990</v>
      </c>
      <c r="B992" t="s">
        <v>7</v>
      </c>
      <c r="C992" s="3">
        <v>2159663.3077275502</v>
      </c>
      <c r="D992" s="3">
        <v>2010415.16</v>
      </c>
      <c r="E992" s="3">
        <v>1471817.9348937401</v>
      </c>
      <c r="F992" s="3">
        <v>2879266.7826168202</v>
      </c>
      <c r="G992" s="1">
        <v>44895</v>
      </c>
      <c r="H992" s="2">
        <v>44866</v>
      </c>
    </row>
    <row r="993" spans="1:8" hidden="1" x14ac:dyDescent="0.45">
      <c r="A993">
        <v>991</v>
      </c>
      <c r="B993" t="s">
        <v>8</v>
      </c>
      <c r="C993" s="3">
        <v>567127.16463702405</v>
      </c>
      <c r="D993" s="3">
        <v>330421.39</v>
      </c>
      <c r="E993" s="3">
        <v>265451.38395912503</v>
      </c>
      <c r="F993" s="3">
        <v>921056.85087789397</v>
      </c>
      <c r="G993" s="1">
        <v>44895</v>
      </c>
      <c r="H993" s="2">
        <v>44896</v>
      </c>
    </row>
    <row r="994" spans="1:8" hidden="1" x14ac:dyDescent="0.45">
      <c r="A994">
        <v>992</v>
      </c>
      <c r="B994" t="s">
        <v>8</v>
      </c>
      <c r="C994" s="3">
        <v>1053598.6439618501</v>
      </c>
      <c r="D994" s="3">
        <v>1014926.47</v>
      </c>
      <c r="E994" s="3">
        <v>550083.292743142</v>
      </c>
      <c r="F994" s="3">
        <v>1615994.59597921</v>
      </c>
      <c r="G994" s="1">
        <v>44895</v>
      </c>
      <c r="H994" s="2">
        <v>44927</v>
      </c>
    </row>
    <row r="995" spans="1:8" hidden="1" x14ac:dyDescent="0.45">
      <c r="A995">
        <v>993</v>
      </c>
      <c r="B995" t="s">
        <v>8</v>
      </c>
      <c r="C995" s="3">
        <v>867066.23947443801</v>
      </c>
      <c r="D995" s="3">
        <v>931738.63</v>
      </c>
      <c r="E995" s="3">
        <v>461438.57362198702</v>
      </c>
      <c r="F995" s="3">
        <v>1330665.7202556799</v>
      </c>
      <c r="G995" s="1">
        <v>44895</v>
      </c>
      <c r="H995" s="2">
        <v>44958</v>
      </c>
    </row>
    <row r="996" spans="1:8" hidden="1" x14ac:dyDescent="0.45">
      <c r="A996">
        <v>994</v>
      </c>
      <c r="B996" t="s">
        <v>8</v>
      </c>
      <c r="C996" s="3">
        <v>2003236.9385585401</v>
      </c>
      <c r="D996" s="3">
        <v>566198.13</v>
      </c>
      <c r="E996" s="3">
        <v>1217595.36551824</v>
      </c>
      <c r="F996" s="3">
        <v>2827246.0115366401</v>
      </c>
      <c r="G996" s="1">
        <v>44895</v>
      </c>
      <c r="H996" s="2">
        <v>44986</v>
      </c>
    </row>
    <row r="997" spans="1:8" hidden="1" x14ac:dyDescent="0.45">
      <c r="A997">
        <v>995</v>
      </c>
      <c r="B997" t="s">
        <v>8</v>
      </c>
      <c r="C997" s="3">
        <v>371765.82449577301</v>
      </c>
      <c r="D997" s="3">
        <v>950702.59</v>
      </c>
      <c r="E997" s="3">
        <v>160181.613367054</v>
      </c>
      <c r="F997" s="3">
        <v>611713.63808195596</v>
      </c>
      <c r="G997" s="1">
        <v>44895</v>
      </c>
      <c r="H997" s="2">
        <v>45017</v>
      </c>
    </row>
    <row r="998" spans="1:8" hidden="1" x14ac:dyDescent="0.45">
      <c r="A998">
        <v>996</v>
      </c>
      <c r="B998" t="s">
        <v>8</v>
      </c>
      <c r="C998" s="3">
        <v>602242.046521076</v>
      </c>
      <c r="D998" s="3">
        <v>974397.76</v>
      </c>
      <c r="E998" s="3">
        <v>292697.623191541</v>
      </c>
      <c r="F998" s="3">
        <v>961458.99794424605</v>
      </c>
      <c r="G998" s="1">
        <v>44895</v>
      </c>
      <c r="H998" s="2">
        <v>45047</v>
      </c>
    </row>
    <row r="999" spans="1:8" hidden="1" x14ac:dyDescent="0.45">
      <c r="A999">
        <v>997</v>
      </c>
      <c r="B999" t="s">
        <v>8</v>
      </c>
      <c r="C999" s="3">
        <v>1023758.04568472</v>
      </c>
      <c r="D999" s="3">
        <v>842007.52</v>
      </c>
      <c r="E999" s="3">
        <v>577152.14558289095</v>
      </c>
      <c r="F999" s="3">
        <v>1528759.98877679</v>
      </c>
      <c r="G999" s="1">
        <v>44895</v>
      </c>
      <c r="H999" s="2">
        <v>45078</v>
      </c>
    </row>
    <row r="1000" spans="1:8" hidden="1" x14ac:dyDescent="0.45">
      <c r="A1000">
        <v>998</v>
      </c>
      <c r="B1000" t="s">
        <v>8</v>
      </c>
      <c r="C1000" s="3">
        <v>1002502.35219662</v>
      </c>
      <c r="D1000" s="3">
        <v>854473.32</v>
      </c>
      <c r="E1000" s="3">
        <v>576407.18651661999</v>
      </c>
      <c r="F1000" s="3">
        <v>1481458.35453112</v>
      </c>
      <c r="G1000" s="1">
        <v>44895</v>
      </c>
      <c r="H1000" s="2">
        <v>45108</v>
      </c>
    </row>
    <row r="1001" spans="1:8" hidden="1" x14ac:dyDescent="0.45">
      <c r="A1001">
        <v>999</v>
      </c>
      <c r="B1001" t="s">
        <v>8</v>
      </c>
      <c r="C1001" s="3">
        <v>982055.951865779</v>
      </c>
      <c r="D1001" s="3">
        <v>890451.14</v>
      </c>
      <c r="E1001" s="3">
        <v>564357.12067421596</v>
      </c>
      <c r="F1001" s="3">
        <v>1423251.47807344</v>
      </c>
      <c r="G1001" s="1">
        <v>44895</v>
      </c>
      <c r="H1001" s="2">
        <v>45139</v>
      </c>
    </row>
    <row r="1002" spans="1:8" hidden="1" x14ac:dyDescent="0.45">
      <c r="A1002">
        <v>1000</v>
      </c>
      <c r="B1002" t="s">
        <v>8</v>
      </c>
      <c r="C1002" s="3">
        <v>844223.76524821995</v>
      </c>
      <c r="D1002" s="3">
        <v>963447.54</v>
      </c>
      <c r="E1002" s="3">
        <v>496789.72335671802</v>
      </c>
      <c r="F1002" s="3">
        <v>1227414.5456471201</v>
      </c>
      <c r="G1002" s="1">
        <v>44895</v>
      </c>
      <c r="H1002" s="2">
        <v>45170</v>
      </c>
    </row>
    <row r="1003" spans="1:8" hidden="1" x14ac:dyDescent="0.45">
      <c r="A1003">
        <v>1001</v>
      </c>
      <c r="B1003" t="s">
        <v>8</v>
      </c>
      <c r="C1003" s="3">
        <v>721023.184359306</v>
      </c>
      <c r="D1003" s="3">
        <v>859054.74</v>
      </c>
      <c r="E1003" s="3">
        <v>419471.33064535703</v>
      </c>
      <c r="F1003" s="3">
        <v>1063708.5125313499</v>
      </c>
      <c r="G1003" s="1">
        <v>44895</v>
      </c>
      <c r="H1003" s="2">
        <v>45200</v>
      </c>
    </row>
    <row r="1004" spans="1:8" hidden="1" x14ac:dyDescent="0.45">
      <c r="A1004">
        <v>1002</v>
      </c>
      <c r="B1004" t="s">
        <v>8</v>
      </c>
      <c r="C1004" s="3">
        <v>1558866.17908544</v>
      </c>
      <c r="D1004" s="3">
        <v>1417394.03999999</v>
      </c>
      <c r="E1004" s="3">
        <v>1019130.89734571</v>
      </c>
      <c r="F1004" s="3">
        <v>2131694.7064236202</v>
      </c>
      <c r="G1004" s="1">
        <v>44895</v>
      </c>
      <c r="H1004" s="2">
        <v>45231</v>
      </c>
    </row>
    <row r="1005" spans="1:8" hidden="1" x14ac:dyDescent="0.45">
      <c r="A1005">
        <v>1003</v>
      </c>
      <c r="B1005" t="s">
        <v>8</v>
      </c>
      <c r="C1005" s="3">
        <v>443631.25877013401</v>
      </c>
      <c r="D1005" s="3">
        <v>609276.03999999899</v>
      </c>
      <c r="E1005" s="3">
        <v>206735.646805867</v>
      </c>
      <c r="F1005" s="3">
        <v>728119.64171506895</v>
      </c>
      <c r="G1005" s="1">
        <v>44895</v>
      </c>
      <c r="H1005" s="2">
        <v>45261</v>
      </c>
    </row>
    <row r="1006" spans="1:8" hidden="1" x14ac:dyDescent="0.45">
      <c r="A1006">
        <v>1004</v>
      </c>
      <c r="B1006" t="s">
        <v>8</v>
      </c>
      <c r="C1006" s="3">
        <v>830053.89471272798</v>
      </c>
      <c r="D1006" s="3">
        <v>965509.31</v>
      </c>
      <c r="E1006" s="3">
        <v>428009.50305255398</v>
      </c>
      <c r="F1006" s="3">
        <v>1290688.0683132501</v>
      </c>
      <c r="G1006" s="1">
        <v>44895</v>
      </c>
      <c r="H1006" s="2">
        <v>45292</v>
      </c>
    </row>
    <row r="1007" spans="1:8" hidden="1" x14ac:dyDescent="0.45">
      <c r="A1007">
        <v>1005</v>
      </c>
      <c r="B1007" t="s">
        <v>8</v>
      </c>
      <c r="C1007" s="3">
        <v>691826.38300873502</v>
      </c>
      <c r="D1007" s="3">
        <v>642011.52999999898</v>
      </c>
      <c r="E1007" s="3">
        <v>362232.39573957998</v>
      </c>
      <c r="F1007" s="3">
        <v>1054528.8220832699</v>
      </c>
      <c r="G1007" s="1">
        <v>44895</v>
      </c>
      <c r="H1007" s="2">
        <v>45323</v>
      </c>
    </row>
    <row r="1008" spans="1:8" hidden="1" x14ac:dyDescent="0.45">
      <c r="A1008">
        <v>1006</v>
      </c>
      <c r="B1008" t="s">
        <v>8</v>
      </c>
      <c r="C1008" s="3">
        <v>1583236.6964642799</v>
      </c>
      <c r="D1008" s="3">
        <v>644078.84</v>
      </c>
      <c r="E1008" s="3">
        <v>971787.57873201405</v>
      </c>
      <c r="F1008" s="3">
        <v>2265315.6715144198</v>
      </c>
      <c r="G1008" s="1">
        <v>44895</v>
      </c>
      <c r="H1008" s="2">
        <v>45352</v>
      </c>
    </row>
    <row r="1009" spans="1:8" hidden="1" x14ac:dyDescent="0.45">
      <c r="A1009">
        <v>1007</v>
      </c>
      <c r="B1009" t="s">
        <v>8</v>
      </c>
      <c r="C1009" s="3">
        <v>303256.01300870598</v>
      </c>
      <c r="D1009" s="3">
        <v>1003127.53</v>
      </c>
      <c r="E1009" s="3">
        <v>126996.682909722</v>
      </c>
      <c r="F1009" s="3">
        <v>500668.21290247398</v>
      </c>
      <c r="G1009" s="1">
        <v>44895</v>
      </c>
      <c r="H1009" s="2">
        <v>45383</v>
      </c>
    </row>
    <row r="1010" spans="1:8" hidden="1" x14ac:dyDescent="0.45">
      <c r="A1010">
        <v>1008</v>
      </c>
      <c r="B1010" t="s">
        <v>8</v>
      </c>
      <c r="C1010" s="3">
        <v>489911.97658084601</v>
      </c>
      <c r="D1010" s="3">
        <v>537712.1</v>
      </c>
      <c r="E1010" s="3">
        <v>237869.741662891</v>
      </c>
      <c r="F1010" s="3">
        <v>785210.66381151194</v>
      </c>
      <c r="G1010" s="1">
        <v>44895</v>
      </c>
      <c r="H1010" s="2">
        <v>45413</v>
      </c>
    </row>
    <row r="1011" spans="1:8" hidden="1" x14ac:dyDescent="0.45">
      <c r="A1011">
        <v>1009</v>
      </c>
      <c r="B1011" t="s">
        <v>8</v>
      </c>
      <c r="C1011" s="3">
        <v>838488.90002289705</v>
      </c>
      <c r="D1011" s="3">
        <v>569687.47</v>
      </c>
      <c r="E1011" s="3">
        <v>469720.36222268501</v>
      </c>
      <c r="F1011" s="3">
        <v>1254135.5513021001</v>
      </c>
      <c r="G1011" s="1">
        <v>44895</v>
      </c>
      <c r="H1011" s="2">
        <v>45444</v>
      </c>
    </row>
    <row r="1012" spans="1:8" hidden="1" x14ac:dyDescent="0.45">
      <c r="A1012">
        <v>1010</v>
      </c>
      <c r="B1012" t="s">
        <v>8</v>
      </c>
      <c r="C1012" s="3">
        <v>820514.55984106194</v>
      </c>
      <c r="D1012" s="3">
        <v>622297.96999999904</v>
      </c>
      <c r="E1012" s="3">
        <v>463857.812638612</v>
      </c>
      <c r="F1012" s="3">
        <v>1198394.85119904</v>
      </c>
      <c r="G1012" s="1">
        <v>44895</v>
      </c>
      <c r="H1012" s="2">
        <v>45474</v>
      </c>
    </row>
    <row r="1013" spans="1:8" hidden="1" x14ac:dyDescent="0.45">
      <c r="A1013">
        <v>1011</v>
      </c>
      <c r="B1013" t="s">
        <v>8</v>
      </c>
      <c r="C1013" s="3">
        <v>803057.98502418201</v>
      </c>
      <c r="D1013" s="3">
        <v>581150.11999999895</v>
      </c>
      <c r="E1013" s="3">
        <v>462681.39805515303</v>
      </c>
      <c r="F1013" s="3">
        <v>1165649.3777256701</v>
      </c>
      <c r="G1013" s="1">
        <v>44895</v>
      </c>
      <c r="H1013" s="2">
        <v>45505</v>
      </c>
    </row>
    <row r="1014" spans="1:8" hidden="1" x14ac:dyDescent="0.45">
      <c r="A1014">
        <v>1012</v>
      </c>
      <c r="B1014" t="s">
        <v>8</v>
      </c>
      <c r="C1014" s="3">
        <v>696515.11886283802</v>
      </c>
      <c r="D1014" s="3">
        <v>1062244.95</v>
      </c>
      <c r="E1014" s="3">
        <v>408381.93026576802</v>
      </c>
      <c r="F1014" s="3">
        <v>1010517.6197676701</v>
      </c>
      <c r="G1014" s="1">
        <v>44895</v>
      </c>
      <c r="H1014" s="2">
        <v>45536</v>
      </c>
    </row>
    <row r="1015" spans="1:8" hidden="1" x14ac:dyDescent="0.45">
      <c r="A1015">
        <v>1013</v>
      </c>
      <c r="B1015" t="s">
        <v>8</v>
      </c>
      <c r="C1015" s="3">
        <v>591382.14299500105</v>
      </c>
      <c r="D1015" s="3">
        <v>426863.4</v>
      </c>
      <c r="E1015" s="3">
        <v>341184.22524506698</v>
      </c>
      <c r="F1015" s="3">
        <v>869142.32679035305</v>
      </c>
      <c r="G1015" s="1">
        <v>44895</v>
      </c>
      <c r="H1015" s="2">
        <v>45566</v>
      </c>
    </row>
    <row r="1016" spans="1:8" hidden="1" x14ac:dyDescent="0.45">
      <c r="A1016">
        <v>1014</v>
      </c>
      <c r="B1016" t="s">
        <v>8</v>
      </c>
      <c r="C1016" s="3">
        <v>1277184.7454991899</v>
      </c>
      <c r="D1016" s="3"/>
      <c r="E1016" s="3">
        <v>835267.71922067297</v>
      </c>
      <c r="F1016" s="3">
        <v>1746561.03267866</v>
      </c>
      <c r="G1016" s="1">
        <v>44895</v>
      </c>
      <c r="H1016" s="2">
        <v>45597</v>
      </c>
    </row>
    <row r="1017" spans="1:8" hidden="1" x14ac:dyDescent="0.45">
      <c r="A1017">
        <v>1015</v>
      </c>
      <c r="B1017" t="s">
        <v>8</v>
      </c>
      <c r="C1017" s="3">
        <v>365035.52974061802</v>
      </c>
      <c r="D1017" s="3"/>
      <c r="E1017" s="3">
        <v>171317.406510164</v>
      </c>
      <c r="F1017" s="3">
        <v>598463.59289102303</v>
      </c>
      <c r="G1017" s="1">
        <v>44895</v>
      </c>
      <c r="H1017" s="2">
        <v>45627</v>
      </c>
    </row>
    <row r="1018" spans="1:8" hidden="1" x14ac:dyDescent="0.45">
      <c r="A1018">
        <v>1016</v>
      </c>
      <c r="B1018" t="s">
        <v>8</v>
      </c>
      <c r="C1018" s="3">
        <v>683679.47696664499</v>
      </c>
      <c r="D1018" s="3"/>
      <c r="E1018" s="3">
        <v>356629.79326739197</v>
      </c>
      <c r="F1018" s="3">
        <v>1058988.2113950299</v>
      </c>
      <c r="G1018" s="1">
        <v>44895</v>
      </c>
      <c r="H1018" s="2">
        <v>45658</v>
      </c>
    </row>
    <row r="1019" spans="1:8" hidden="1" x14ac:dyDescent="0.45">
      <c r="A1019">
        <v>1017</v>
      </c>
      <c r="B1019" t="s">
        <v>8</v>
      </c>
      <c r="C1019" s="3">
        <v>569894.89177833498</v>
      </c>
      <c r="D1019" s="3"/>
      <c r="E1019" s="3">
        <v>305379.72922670498</v>
      </c>
      <c r="F1019" s="3">
        <v>876470.98409641499</v>
      </c>
      <c r="G1019" s="1">
        <v>44895</v>
      </c>
      <c r="H1019" s="2">
        <v>45689</v>
      </c>
    </row>
    <row r="1020" spans="1:8" hidden="1" x14ac:dyDescent="0.45">
      <c r="A1020">
        <v>1018</v>
      </c>
      <c r="B1020" t="s">
        <v>8</v>
      </c>
      <c r="C1020" s="3">
        <v>1295549.6407655999</v>
      </c>
      <c r="D1020" s="3"/>
      <c r="E1020" s="3">
        <v>790506.11268148804</v>
      </c>
      <c r="F1020" s="3">
        <v>1836625.2096492001</v>
      </c>
      <c r="G1020" s="1">
        <v>44895</v>
      </c>
      <c r="H1020" s="2">
        <v>45717</v>
      </c>
    </row>
    <row r="1021" spans="1:8" hidden="1" x14ac:dyDescent="0.45">
      <c r="A1021">
        <v>1019</v>
      </c>
      <c r="B1021" t="s">
        <v>8</v>
      </c>
      <c r="C1021" s="3">
        <v>250072.297626877</v>
      </c>
      <c r="D1021" s="3"/>
      <c r="E1021" s="3">
        <v>104619.21284886599</v>
      </c>
      <c r="F1021" s="3">
        <v>412611.75201128802</v>
      </c>
      <c r="G1021" s="1">
        <v>44895</v>
      </c>
      <c r="H1021" s="2">
        <v>45748</v>
      </c>
    </row>
    <row r="1022" spans="1:8" hidden="1" x14ac:dyDescent="0.45">
      <c r="A1022">
        <v>1020</v>
      </c>
      <c r="B1022" t="s">
        <v>8</v>
      </c>
      <c r="C1022" s="3">
        <v>405137.68207219098</v>
      </c>
      <c r="D1022" s="3"/>
      <c r="E1022" s="3">
        <v>194892.91840619099</v>
      </c>
      <c r="F1022" s="3">
        <v>643754.51886850398</v>
      </c>
      <c r="G1022" s="1">
        <v>44895</v>
      </c>
      <c r="H1022" s="2">
        <v>45778</v>
      </c>
    </row>
    <row r="1023" spans="1:8" hidden="1" x14ac:dyDescent="0.45">
      <c r="A1023">
        <v>1021</v>
      </c>
      <c r="B1023" t="s">
        <v>8</v>
      </c>
      <c r="C1023" s="3">
        <v>696615.89893219096</v>
      </c>
      <c r="D1023" s="3"/>
      <c r="E1023" s="3">
        <v>388053.50562643597</v>
      </c>
      <c r="F1023" s="3">
        <v>1033899.42217495</v>
      </c>
      <c r="G1023" s="1">
        <v>44895</v>
      </c>
      <c r="H1023" s="2">
        <v>45809</v>
      </c>
    </row>
    <row r="1024" spans="1:8" hidden="1" x14ac:dyDescent="0.45">
      <c r="A1024">
        <v>1022</v>
      </c>
      <c r="B1024" t="s">
        <v>8</v>
      </c>
      <c r="C1024" s="3">
        <v>682651.65781958902</v>
      </c>
      <c r="D1024" s="3"/>
      <c r="E1024" s="3">
        <v>389738.107372506</v>
      </c>
      <c r="F1024" s="3">
        <v>999997.048951437</v>
      </c>
      <c r="G1024" s="1">
        <v>44895</v>
      </c>
      <c r="H1024" s="2">
        <v>45839</v>
      </c>
    </row>
    <row r="1025" spans="1:8" hidden="1" x14ac:dyDescent="0.45">
      <c r="A1025">
        <v>1023</v>
      </c>
      <c r="B1025" t="s">
        <v>8</v>
      </c>
      <c r="C1025" s="3">
        <v>663955.29346123</v>
      </c>
      <c r="D1025" s="3"/>
      <c r="E1025" s="3">
        <v>384739.48119833099</v>
      </c>
      <c r="F1025" s="3">
        <v>963617.49399986095</v>
      </c>
      <c r="G1025" s="1">
        <v>44895</v>
      </c>
      <c r="H1025" s="2">
        <v>45870</v>
      </c>
    </row>
    <row r="1026" spans="1:8" hidden="1" x14ac:dyDescent="0.45">
      <c r="A1026">
        <v>1024</v>
      </c>
      <c r="B1026" t="s">
        <v>8</v>
      </c>
      <c r="C1026" s="3">
        <v>580147.62652827997</v>
      </c>
      <c r="D1026" s="3"/>
      <c r="E1026" s="3">
        <v>342625.74630777002</v>
      </c>
      <c r="F1026" s="3">
        <v>840004.18432640797</v>
      </c>
      <c r="G1026" s="1">
        <v>44895</v>
      </c>
      <c r="H1026" s="2">
        <v>45901</v>
      </c>
    </row>
    <row r="1027" spans="1:8" hidden="1" x14ac:dyDescent="0.45">
      <c r="A1027">
        <v>1025</v>
      </c>
      <c r="B1027" t="s">
        <v>8</v>
      </c>
      <c r="C1027" s="3">
        <v>489640.70933089702</v>
      </c>
      <c r="D1027" s="3"/>
      <c r="E1027" s="3">
        <v>285918.019218011</v>
      </c>
      <c r="F1027" s="3">
        <v>722332.27916621498</v>
      </c>
      <c r="G1027" s="1">
        <v>44895</v>
      </c>
      <c r="H1027" s="2">
        <v>45931</v>
      </c>
    </row>
    <row r="1028" spans="1:8" hidden="1" x14ac:dyDescent="0.45">
      <c r="A1028">
        <v>1026</v>
      </c>
      <c r="B1028" t="s">
        <v>7</v>
      </c>
      <c r="C1028" s="3">
        <v>153187.64563762301</v>
      </c>
      <c r="D1028" s="3">
        <v>28250.62</v>
      </c>
      <c r="E1028" s="3">
        <v>92435.302299195202</v>
      </c>
      <c r="F1028" s="3">
        <v>229060.46686861099</v>
      </c>
      <c r="G1028" s="1">
        <v>44926</v>
      </c>
      <c r="H1028" s="2">
        <v>44228</v>
      </c>
    </row>
    <row r="1029" spans="1:8" hidden="1" x14ac:dyDescent="0.45">
      <c r="A1029">
        <v>1027</v>
      </c>
      <c r="B1029" t="s">
        <v>7</v>
      </c>
      <c r="C1029" s="3">
        <v>386179.55006012903</v>
      </c>
      <c r="D1029" s="3">
        <v>36247.919999999998</v>
      </c>
      <c r="E1029" s="3">
        <v>252877.00817321299</v>
      </c>
      <c r="F1029" s="3">
        <v>517916.50461658702</v>
      </c>
      <c r="G1029" s="1">
        <v>44926</v>
      </c>
      <c r="H1029" s="2">
        <v>44256</v>
      </c>
    </row>
    <row r="1030" spans="1:8" hidden="1" x14ac:dyDescent="0.45">
      <c r="A1030">
        <v>1028</v>
      </c>
      <c r="B1030" t="s">
        <v>7</v>
      </c>
      <c r="C1030" s="3">
        <v>110636.69948576399</v>
      </c>
      <c r="D1030" s="3">
        <v>14721.48</v>
      </c>
      <c r="E1030" s="3">
        <v>48694.205493665999</v>
      </c>
      <c r="F1030" s="3">
        <v>180468.606437804</v>
      </c>
      <c r="G1030" s="1">
        <v>44926</v>
      </c>
      <c r="H1030" s="2">
        <v>44287</v>
      </c>
    </row>
    <row r="1031" spans="1:8" hidden="1" x14ac:dyDescent="0.45">
      <c r="A1031">
        <v>1029</v>
      </c>
      <c r="B1031" t="s">
        <v>7</v>
      </c>
      <c r="C1031" s="3">
        <v>196018.440079947</v>
      </c>
      <c r="D1031" s="3">
        <v>94346.71</v>
      </c>
      <c r="E1031" s="3">
        <v>102214.519387083</v>
      </c>
      <c r="F1031" s="3">
        <v>298727.95682624902</v>
      </c>
      <c r="G1031" s="1">
        <v>44926</v>
      </c>
      <c r="H1031" s="2">
        <v>44317</v>
      </c>
    </row>
    <row r="1032" spans="1:8" hidden="1" x14ac:dyDescent="0.45">
      <c r="A1032">
        <v>1030</v>
      </c>
      <c r="B1032" t="s">
        <v>7</v>
      </c>
      <c r="C1032" s="3">
        <v>528528.19125505595</v>
      </c>
      <c r="D1032" s="3">
        <v>970740.72</v>
      </c>
      <c r="E1032" s="3">
        <v>336987.03500104701</v>
      </c>
      <c r="F1032" s="3">
        <v>728043.37090677803</v>
      </c>
      <c r="G1032" s="1">
        <v>44926</v>
      </c>
      <c r="H1032" s="2">
        <v>44348</v>
      </c>
    </row>
    <row r="1033" spans="1:8" hidden="1" x14ac:dyDescent="0.45">
      <c r="A1033">
        <v>1031</v>
      </c>
      <c r="B1033" t="s">
        <v>7</v>
      </c>
      <c r="C1033" s="3">
        <v>1148286.3721137799</v>
      </c>
      <c r="D1033" s="3">
        <v>1798271.24</v>
      </c>
      <c r="E1033" s="3">
        <v>778630.89451696503</v>
      </c>
      <c r="F1033" s="3">
        <v>1503440.5311095901</v>
      </c>
      <c r="G1033" s="1">
        <v>44926</v>
      </c>
      <c r="H1033" s="2">
        <v>44378</v>
      </c>
    </row>
    <row r="1034" spans="1:8" hidden="1" x14ac:dyDescent="0.45">
      <c r="A1034">
        <v>1032</v>
      </c>
      <c r="B1034" t="s">
        <v>7</v>
      </c>
      <c r="C1034" s="3">
        <v>1069915.82365922</v>
      </c>
      <c r="D1034" s="3">
        <v>700449.31</v>
      </c>
      <c r="E1034" s="3">
        <v>703311.47492157598</v>
      </c>
      <c r="F1034" s="3">
        <v>1468933.6303623901</v>
      </c>
      <c r="G1034" s="1">
        <v>44926</v>
      </c>
      <c r="H1034" s="2">
        <v>44409</v>
      </c>
    </row>
    <row r="1035" spans="1:8" hidden="1" x14ac:dyDescent="0.45">
      <c r="A1035">
        <v>1033</v>
      </c>
      <c r="B1035" t="s">
        <v>7</v>
      </c>
      <c r="C1035" s="3">
        <v>1146307.4319453801</v>
      </c>
      <c r="D1035" s="3">
        <v>1784906.52</v>
      </c>
      <c r="E1035" s="3">
        <v>747000.68679490802</v>
      </c>
      <c r="F1035" s="3">
        <v>1568716.1889314</v>
      </c>
      <c r="G1035" s="1">
        <v>44926</v>
      </c>
      <c r="H1035" s="2">
        <v>44440</v>
      </c>
    </row>
    <row r="1036" spans="1:8" hidden="1" x14ac:dyDescent="0.45">
      <c r="A1036">
        <v>1034</v>
      </c>
      <c r="B1036" t="s">
        <v>7</v>
      </c>
      <c r="C1036" s="3">
        <v>937294.49518339406</v>
      </c>
      <c r="D1036" s="3">
        <v>706422.77</v>
      </c>
      <c r="E1036" s="3">
        <v>570775.81230901997</v>
      </c>
      <c r="F1036" s="3">
        <v>1318049.30778407</v>
      </c>
      <c r="G1036" s="1">
        <v>44926</v>
      </c>
      <c r="H1036" s="2">
        <v>44470</v>
      </c>
    </row>
    <row r="1037" spans="1:8" hidden="1" x14ac:dyDescent="0.45">
      <c r="A1037">
        <v>1035</v>
      </c>
      <c r="B1037" t="s">
        <v>7</v>
      </c>
      <c r="C1037" s="3">
        <v>2243482.0707380702</v>
      </c>
      <c r="D1037" s="3">
        <v>3115611.92</v>
      </c>
      <c r="E1037" s="3">
        <v>1641283.6845454799</v>
      </c>
      <c r="F1037" s="3">
        <v>2909854.74031936</v>
      </c>
      <c r="G1037" s="1">
        <v>44926</v>
      </c>
      <c r="H1037" s="2">
        <v>44501</v>
      </c>
    </row>
    <row r="1038" spans="1:8" hidden="1" x14ac:dyDescent="0.45">
      <c r="A1038">
        <v>1036</v>
      </c>
      <c r="B1038" t="s">
        <v>7</v>
      </c>
      <c r="C1038" s="3">
        <v>588587.05053375103</v>
      </c>
      <c r="D1038" s="3">
        <v>227049.91</v>
      </c>
      <c r="E1038" s="3">
        <v>301188.138047799</v>
      </c>
      <c r="F1038" s="3">
        <v>898610.849709959</v>
      </c>
      <c r="G1038" s="1">
        <v>44926</v>
      </c>
      <c r="H1038" s="2">
        <v>44531</v>
      </c>
    </row>
    <row r="1039" spans="1:8" hidden="1" x14ac:dyDescent="0.45">
      <c r="A1039">
        <v>1037</v>
      </c>
      <c r="B1039" t="s">
        <v>7</v>
      </c>
      <c r="C1039" s="3">
        <v>1265870.97428142</v>
      </c>
      <c r="D1039" s="3">
        <v>1231496.1499999999</v>
      </c>
      <c r="E1039" s="3">
        <v>748204.00042725599</v>
      </c>
      <c r="F1039" s="3">
        <v>1832291.58403156</v>
      </c>
      <c r="G1039" s="1">
        <v>44926</v>
      </c>
      <c r="H1039" s="2">
        <v>44562</v>
      </c>
    </row>
    <row r="1040" spans="1:8" hidden="1" x14ac:dyDescent="0.45">
      <c r="A1040">
        <v>1038</v>
      </c>
      <c r="B1040" t="s">
        <v>7</v>
      </c>
      <c r="C1040" s="3">
        <v>1027084.91496397</v>
      </c>
      <c r="D1040" s="3">
        <v>1031231.86</v>
      </c>
      <c r="E1040" s="3">
        <v>577616.35299071297</v>
      </c>
      <c r="F1040" s="3">
        <v>1497991.22482067</v>
      </c>
      <c r="G1040" s="1">
        <v>44926</v>
      </c>
      <c r="H1040" s="2">
        <v>44593</v>
      </c>
    </row>
    <row r="1041" spans="1:8" hidden="1" x14ac:dyDescent="0.45">
      <c r="A1041">
        <v>1039</v>
      </c>
      <c r="B1041" t="s">
        <v>7</v>
      </c>
      <c r="C1041" s="3">
        <v>2458113.58812046</v>
      </c>
      <c r="D1041" s="3">
        <v>2866780.02</v>
      </c>
      <c r="E1041" s="3">
        <v>1666025.5238634199</v>
      </c>
      <c r="F1041" s="3">
        <v>3288572.3856269401</v>
      </c>
      <c r="G1041" s="1">
        <v>44926</v>
      </c>
      <c r="H1041" s="2">
        <v>44621</v>
      </c>
    </row>
    <row r="1042" spans="1:8" hidden="1" x14ac:dyDescent="0.45">
      <c r="A1042">
        <v>1040</v>
      </c>
      <c r="B1042" t="s">
        <v>7</v>
      </c>
      <c r="C1042" s="3">
        <v>498306.63175910799</v>
      </c>
      <c r="D1042" s="3">
        <v>106305.83</v>
      </c>
      <c r="E1042" s="3">
        <v>227764.01845666301</v>
      </c>
      <c r="F1042" s="3">
        <v>795699.99825882202</v>
      </c>
      <c r="G1042" s="1">
        <v>44926</v>
      </c>
      <c r="H1042" s="2">
        <v>44652</v>
      </c>
    </row>
    <row r="1043" spans="1:8" hidden="1" x14ac:dyDescent="0.45">
      <c r="A1043">
        <v>1041</v>
      </c>
      <c r="B1043" t="s">
        <v>7</v>
      </c>
      <c r="C1043" s="3">
        <v>785406.03067164996</v>
      </c>
      <c r="D1043" s="3">
        <v>667164.73</v>
      </c>
      <c r="E1043" s="3">
        <v>415806.671390187</v>
      </c>
      <c r="F1043" s="3">
        <v>1195496.5514863799</v>
      </c>
      <c r="G1043" s="1">
        <v>44926</v>
      </c>
      <c r="H1043" s="2">
        <v>44682</v>
      </c>
    </row>
    <row r="1044" spans="1:8" hidden="1" x14ac:dyDescent="0.45">
      <c r="A1044">
        <v>1042</v>
      </c>
      <c r="B1044" t="s">
        <v>7</v>
      </c>
      <c r="C1044" s="3">
        <v>1312264.91977452</v>
      </c>
      <c r="D1044" s="3">
        <v>1398761.09</v>
      </c>
      <c r="E1044" s="3">
        <v>798344.34363427397</v>
      </c>
      <c r="F1044" s="3">
        <v>1870434.63727157</v>
      </c>
      <c r="G1044" s="1">
        <v>44926</v>
      </c>
      <c r="H1044" s="2">
        <v>44713</v>
      </c>
    </row>
    <row r="1045" spans="1:8" hidden="1" x14ac:dyDescent="0.45">
      <c r="A1045">
        <v>1043</v>
      </c>
      <c r="B1045" t="s">
        <v>7</v>
      </c>
      <c r="C1045" s="3">
        <v>1363716.4685153801</v>
      </c>
      <c r="D1045" s="3">
        <v>931475.54</v>
      </c>
      <c r="E1045" s="3">
        <v>813113.56052946602</v>
      </c>
      <c r="F1045" s="3">
        <v>1939262.7780173901</v>
      </c>
      <c r="G1045" s="1">
        <v>44926</v>
      </c>
      <c r="H1045" s="2">
        <v>44743</v>
      </c>
    </row>
    <row r="1046" spans="1:8" hidden="1" x14ac:dyDescent="0.45">
      <c r="A1046">
        <v>1044</v>
      </c>
      <c r="B1046" t="s">
        <v>7</v>
      </c>
      <c r="C1046" s="3">
        <v>1251018.4116437801</v>
      </c>
      <c r="D1046" s="3">
        <v>1335916.6499999999</v>
      </c>
      <c r="E1046" s="3">
        <v>768556.073339339</v>
      </c>
      <c r="F1046" s="3">
        <v>1790365.5518312701</v>
      </c>
      <c r="G1046" s="1">
        <v>44926</v>
      </c>
      <c r="H1046" s="2">
        <v>44774</v>
      </c>
    </row>
    <row r="1047" spans="1:8" hidden="1" x14ac:dyDescent="0.45">
      <c r="A1047">
        <v>1045</v>
      </c>
      <c r="B1047" t="s">
        <v>7</v>
      </c>
      <c r="C1047" s="3">
        <v>1110598.08297053</v>
      </c>
      <c r="D1047" s="3">
        <v>976647.27</v>
      </c>
      <c r="E1047" s="3">
        <v>658873.42957242997</v>
      </c>
      <c r="F1047" s="3">
        <v>1612522.9225313601</v>
      </c>
      <c r="G1047" s="1">
        <v>44926</v>
      </c>
      <c r="H1047" s="2">
        <v>44805</v>
      </c>
    </row>
    <row r="1048" spans="1:8" hidden="1" x14ac:dyDescent="0.45">
      <c r="A1048">
        <v>1046</v>
      </c>
      <c r="B1048" t="s">
        <v>7</v>
      </c>
      <c r="C1048" s="3">
        <v>923740.03602035402</v>
      </c>
      <c r="D1048" s="3">
        <v>975982.86</v>
      </c>
      <c r="E1048" s="3">
        <v>528517.85624629597</v>
      </c>
      <c r="F1048" s="3">
        <v>1344824.19434944</v>
      </c>
      <c r="G1048" s="1">
        <v>44926</v>
      </c>
      <c r="H1048" s="2">
        <v>44835</v>
      </c>
    </row>
    <row r="1049" spans="1:8" hidden="1" x14ac:dyDescent="0.45">
      <c r="A1049">
        <v>1047</v>
      </c>
      <c r="B1049" t="s">
        <v>7</v>
      </c>
      <c r="C1049" s="3">
        <v>2132906.4067941098</v>
      </c>
      <c r="D1049" s="3">
        <v>2010415.16</v>
      </c>
      <c r="E1049" s="3">
        <v>1421933.7408962401</v>
      </c>
      <c r="F1049" s="3">
        <v>2880914.14541425</v>
      </c>
      <c r="G1049" s="1">
        <v>44926</v>
      </c>
      <c r="H1049" s="2">
        <v>44866</v>
      </c>
    </row>
    <row r="1050" spans="1:8" hidden="1" x14ac:dyDescent="0.45">
      <c r="A1050">
        <v>1048</v>
      </c>
      <c r="B1050" t="s">
        <v>7</v>
      </c>
      <c r="C1050" s="3">
        <v>487274.96475396602</v>
      </c>
      <c r="D1050" s="3">
        <v>348929.42</v>
      </c>
      <c r="E1050" s="3">
        <v>244709.18828762099</v>
      </c>
      <c r="F1050" s="3">
        <v>769784.927387845</v>
      </c>
      <c r="G1050" s="1">
        <v>44926</v>
      </c>
      <c r="H1050" s="2">
        <v>44896</v>
      </c>
    </row>
    <row r="1051" spans="1:8" hidden="1" x14ac:dyDescent="0.45">
      <c r="A1051">
        <v>1049</v>
      </c>
      <c r="B1051" t="s">
        <v>8</v>
      </c>
      <c r="C1051" s="3">
        <v>1080339.0683005401</v>
      </c>
      <c r="D1051" s="3">
        <v>1079385.2</v>
      </c>
      <c r="E1051" s="3">
        <v>543552.63944864203</v>
      </c>
      <c r="F1051" s="3">
        <v>1667561.6876215499</v>
      </c>
      <c r="G1051" s="1">
        <v>44926</v>
      </c>
      <c r="H1051" s="2">
        <v>44927</v>
      </c>
    </row>
    <row r="1052" spans="1:8" hidden="1" x14ac:dyDescent="0.45">
      <c r="A1052">
        <v>1050</v>
      </c>
      <c r="B1052" t="s">
        <v>8</v>
      </c>
      <c r="C1052" s="3">
        <v>883073.28311500303</v>
      </c>
      <c r="D1052" s="3">
        <v>967866.68</v>
      </c>
      <c r="E1052" s="3">
        <v>435637.24933841598</v>
      </c>
      <c r="F1052" s="3">
        <v>1382731.45382182</v>
      </c>
      <c r="G1052" s="1">
        <v>44926</v>
      </c>
      <c r="H1052" s="2">
        <v>44958</v>
      </c>
    </row>
    <row r="1053" spans="1:8" hidden="1" x14ac:dyDescent="0.45">
      <c r="A1053">
        <v>1051</v>
      </c>
      <c r="B1053" t="s">
        <v>8</v>
      </c>
      <c r="C1053" s="3">
        <v>2046354.8535043299</v>
      </c>
      <c r="D1053" s="3">
        <v>591999.73</v>
      </c>
      <c r="E1053" s="3">
        <v>1188536.8207618</v>
      </c>
      <c r="F1053" s="3">
        <v>2947339.8911225302</v>
      </c>
      <c r="G1053" s="1">
        <v>44926</v>
      </c>
      <c r="H1053" s="2">
        <v>44986</v>
      </c>
    </row>
    <row r="1054" spans="1:8" hidden="1" x14ac:dyDescent="0.45">
      <c r="A1054">
        <v>1052</v>
      </c>
      <c r="B1054" t="s">
        <v>8</v>
      </c>
      <c r="C1054" s="3">
        <v>373978.700897092</v>
      </c>
      <c r="D1054" s="3">
        <v>984168.11</v>
      </c>
      <c r="E1054" s="3">
        <v>153450.577766826</v>
      </c>
      <c r="F1054" s="3">
        <v>628076.57505979401</v>
      </c>
      <c r="G1054" s="1">
        <v>44926</v>
      </c>
      <c r="H1054" s="2">
        <v>45017</v>
      </c>
    </row>
    <row r="1055" spans="1:8" hidden="1" x14ac:dyDescent="0.45">
      <c r="A1055">
        <v>1053</v>
      </c>
      <c r="B1055" t="s">
        <v>8</v>
      </c>
      <c r="C1055" s="3">
        <v>598160.44482421002</v>
      </c>
      <c r="D1055" s="3">
        <v>1038091.6</v>
      </c>
      <c r="E1055" s="3">
        <v>291643.73356868798</v>
      </c>
      <c r="F1055" s="3">
        <v>967947.581515842</v>
      </c>
      <c r="G1055" s="1">
        <v>44926</v>
      </c>
      <c r="H1055" s="2">
        <v>45047</v>
      </c>
    </row>
    <row r="1056" spans="1:8" hidden="1" x14ac:dyDescent="0.45">
      <c r="A1056">
        <v>1054</v>
      </c>
      <c r="B1056" t="s">
        <v>8</v>
      </c>
      <c r="C1056" s="3">
        <v>987396.07248324505</v>
      </c>
      <c r="D1056" s="3">
        <v>870784.88</v>
      </c>
      <c r="E1056" s="3">
        <v>528943.66802968597</v>
      </c>
      <c r="F1056" s="3">
        <v>1493421.54598462</v>
      </c>
      <c r="G1056" s="1">
        <v>44926</v>
      </c>
      <c r="H1056" s="2">
        <v>45078</v>
      </c>
    </row>
    <row r="1057" spans="1:8" hidden="1" x14ac:dyDescent="0.45">
      <c r="A1057">
        <v>1055</v>
      </c>
      <c r="B1057" t="s">
        <v>8</v>
      </c>
      <c r="C1057" s="3">
        <v>973960.01470683096</v>
      </c>
      <c r="D1057" s="3">
        <v>888117.99</v>
      </c>
      <c r="E1057" s="3">
        <v>531322.88569073903</v>
      </c>
      <c r="F1057" s="3">
        <v>1465355.2144851999</v>
      </c>
      <c r="G1057" s="1">
        <v>44926</v>
      </c>
      <c r="H1057" s="2">
        <v>45108</v>
      </c>
    </row>
    <row r="1058" spans="1:8" hidden="1" x14ac:dyDescent="0.45">
      <c r="A1058">
        <v>1056</v>
      </c>
      <c r="B1058" t="s">
        <v>8</v>
      </c>
      <c r="C1058" s="3">
        <v>988923.859807892</v>
      </c>
      <c r="D1058" s="3">
        <v>922619.22</v>
      </c>
      <c r="E1058" s="3">
        <v>535572.98348821898</v>
      </c>
      <c r="F1058" s="3">
        <v>1472546.66291662</v>
      </c>
      <c r="G1058" s="1">
        <v>44926</v>
      </c>
      <c r="H1058" s="2">
        <v>45139</v>
      </c>
    </row>
    <row r="1059" spans="1:8" hidden="1" x14ac:dyDescent="0.45">
      <c r="A1059">
        <v>1057</v>
      </c>
      <c r="B1059" t="s">
        <v>8</v>
      </c>
      <c r="C1059" s="3">
        <v>819964.28862959798</v>
      </c>
      <c r="D1059" s="3">
        <v>1002266.95</v>
      </c>
      <c r="E1059" s="3">
        <v>455398.23100200802</v>
      </c>
      <c r="F1059" s="3">
        <v>1223911.3289294599</v>
      </c>
      <c r="G1059" s="1">
        <v>44926</v>
      </c>
      <c r="H1059" s="2">
        <v>45170</v>
      </c>
    </row>
    <row r="1060" spans="1:8" hidden="1" x14ac:dyDescent="0.45">
      <c r="A1060">
        <v>1058</v>
      </c>
      <c r="B1060" t="s">
        <v>8</v>
      </c>
      <c r="C1060" s="3">
        <v>699555.66979528498</v>
      </c>
      <c r="D1060" s="3">
        <v>891611.04</v>
      </c>
      <c r="E1060" s="3">
        <v>378195.48795552802</v>
      </c>
      <c r="F1060" s="3">
        <v>1053343.8655524801</v>
      </c>
      <c r="G1060" s="1">
        <v>44926</v>
      </c>
      <c r="H1060" s="2">
        <v>45200</v>
      </c>
    </row>
    <row r="1061" spans="1:8" hidden="1" x14ac:dyDescent="0.45">
      <c r="A1061">
        <v>1059</v>
      </c>
      <c r="B1061" t="s">
        <v>8</v>
      </c>
      <c r="C1061" s="3">
        <v>1539146.1115582499</v>
      </c>
      <c r="D1061" s="3">
        <v>1513632.73999999</v>
      </c>
      <c r="E1061" s="3">
        <v>976158.84921584395</v>
      </c>
      <c r="F1061" s="3">
        <v>2161221.1054924298</v>
      </c>
      <c r="G1061" s="1">
        <v>44926</v>
      </c>
      <c r="H1061" s="2">
        <v>45231</v>
      </c>
    </row>
    <row r="1062" spans="1:8" hidden="1" x14ac:dyDescent="0.45">
      <c r="A1062">
        <v>1060</v>
      </c>
      <c r="B1062" t="s">
        <v>8</v>
      </c>
      <c r="C1062" s="3">
        <v>352548.91554781399</v>
      </c>
      <c r="D1062" s="3">
        <v>640931.39999999898</v>
      </c>
      <c r="E1062" s="3">
        <v>171422.53934766</v>
      </c>
      <c r="F1062" s="3">
        <v>561863.62453717401</v>
      </c>
      <c r="G1062" s="1">
        <v>44926</v>
      </c>
      <c r="H1062" s="2">
        <v>45261</v>
      </c>
    </row>
    <row r="1063" spans="1:8" hidden="1" x14ac:dyDescent="0.45">
      <c r="A1063">
        <v>1061</v>
      </c>
      <c r="B1063" t="s">
        <v>8</v>
      </c>
      <c r="C1063" s="3">
        <v>800787.01904839498</v>
      </c>
      <c r="D1063" s="3">
        <v>999959.3</v>
      </c>
      <c r="E1063" s="3">
        <v>383749.52936749399</v>
      </c>
      <c r="F1063" s="3">
        <v>1252614.95470305</v>
      </c>
      <c r="G1063" s="1">
        <v>44926</v>
      </c>
      <c r="H1063" s="2">
        <v>45292</v>
      </c>
    </row>
    <row r="1064" spans="1:8" hidden="1" x14ac:dyDescent="0.45">
      <c r="A1064">
        <v>1062</v>
      </c>
      <c r="B1064" t="s">
        <v>8</v>
      </c>
      <c r="C1064" s="3">
        <v>676082.40739375399</v>
      </c>
      <c r="D1064" s="3">
        <v>667105.55999999901</v>
      </c>
      <c r="E1064" s="3">
        <v>321082.71176138101</v>
      </c>
      <c r="F1064" s="3">
        <v>1071617.5270646401</v>
      </c>
      <c r="G1064" s="1">
        <v>44926</v>
      </c>
      <c r="H1064" s="2">
        <v>45323</v>
      </c>
    </row>
    <row r="1065" spans="1:8" hidden="1" x14ac:dyDescent="0.45">
      <c r="A1065">
        <v>1063</v>
      </c>
      <c r="B1065" t="s">
        <v>8</v>
      </c>
      <c r="C1065" s="3">
        <v>1538487.8451493301</v>
      </c>
      <c r="D1065" s="3">
        <v>672198.99</v>
      </c>
      <c r="E1065" s="3">
        <v>861723.31690700597</v>
      </c>
      <c r="F1065" s="3">
        <v>2260346.7522491999</v>
      </c>
      <c r="G1065" s="1">
        <v>44926</v>
      </c>
      <c r="H1065" s="2">
        <v>45352</v>
      </c>
    </row>
    <row r="1066" spans="1:8" hidden="1" x14ac:dyDescent="0.45">
      <c r="A1066">
        <v>1064</v>
      </c>
      <c r="B1066" t="s">
        <v>8</v>
      </c>
      <c r="C1066" s="3">
        <v>293487.827655692</v>
      </c>
      <c r="D1066" s="3">
        <v>1048606.02</v>
      </c>
      <c r="E1066" s="3">
        <v>118455.429566095</v>
      </c>
      <c r="F1066" s="3">
        <v>505260.83526880201</v>
      </c>
      <c r="G1066" s="1">
        <v>44926</v>
      </c>
      <c r="H1066" s="2">
        <v>45383</v>
      </c>
    </row>
    <row r="1067" spans="1:8" hidden="1" x14ac:dyDescent="0.45">
      <c r="A1067">
        <v>1065</v>
      </c>
      <c r="B1067" t="s">
        <v>8</v>
      </c>
      <c r="C1067" s="3">
        <v>470611.36178281601</v>
      </c>
      <c r="D1067" s="3">
        <v>560342.14</v>
      </c>
      <c r="E1067" s="3">
        <v>221452.533206313</v>
      </c>
      <c r="F1067" s="3">
        <v>760214.62919107999</v>
      </c>
      <c r="G1067" s="1">
        <v>44926</v>
      </c>
      <c r="H1067" s="2">
        <v>45413</v>
      </c>
    </row>
    <row r="1068" spans="1:8" hidden="1" x14ac:dyDescent="0.45">
      <c r="A1068">
        <v>1066</v>
      </c>
      <c r="B1068" t="s">
        <v>8</v>
      </c>
      <c r="C1068" s="3">
        <v>784154.38906431699</v>
      </c>
      <c r="D1068" s="3">
        <v>589909.68999999994</v>
      </c>
      <c r="E1068" s="3">
        <v>417031.24060159503</v>
      </c>
      <c r="F1068" s="3">
        <v>1198417.47787528</v>
      </c>
      <c r="G1068" s="1">
        <v>44926</v>
      </c>
      <c r="H1068" s="2">
        <v>45444</v>
      </c>
    </row>
    <row r="1069" spans="1:8" hidden="1" x14ac:dyDescent="0.45">
      <c r="A1069">
        <v>1067</v>
      </c>
      <c r="B1069" t="s">
        <v>8</v>
      </c>
      <c r="C1069" s="3">
        <v>770639.94648861606</v>
      </c>
      <c r="D1069" s="3">
        <v>645986.24999999895</v>
      </c>
      <c r="E1069" s="3">
        <v>418562.88656665699</v>
      </c>
      <c r="F1069" s="3">
        <v>1174534.6035281499</v>
      </c>
      <c r="G1069" s="1">
        <v>44926</v>
      </c>
      <c r="H1069" s="2">
        <v>45474</v>
      </c>
    </row>
    <row r="1070" spans="1:8" hidden="1" x14ac:dyDescent="0.45">
      <c r="A1070">
        <v>1068</v>
      </c>
      <c r="B1070" t="s">
        <v>8</v>
      </c>
      <c r="C1070" s="3">
        <v>789724.02434020804</v>
      </c>
      <c r="D1070" s="3">
        <v>607262.48999999894</v>
      </c>
      <c r="E1070" s="3">
        <v>419531.61773474602</v>
      </c>
      <c r="F1070" s="3">
        <v>1176358.27816241</v>
      </c>
      <c r="G1070" s="1">
        <v>44926</v>
      </c>
      <c r="H1070" s="2">
        <v>45505</v>
      </c>
    </row>
    <row r="1071" spans="1:8" hidden="1" x14ac:dyDescent="0.45">
      <c r="A1071">
        <v>1069</v>
      </c>
      <c r="B1071" t="s">
        <v>8</v>
      </c>
      <c r="C1071" s="3">
        <v>655161.58629927796</v>
      </c>
      <c r="D1071" s="3">
        <v>1109944.05</v>
      </c>
      <c r="E1071" s="3">
        <v>360190.01454145799</v>
      </c>
      <c r="F1071" s="3">
        <v>977400.47587008402</v>
      </c>
      <c r="G1071" s="1">
        <v>44926</v>
      </c>
      <c r="H1071" s="2">
        <v>45536</v>
      </c>
    </row>
    <row r="1072" spans="1:8" hidden="1" x14ac:dyDescent="0.45">
      <c r="A1072">
        <v>1070</v>
      </c>
      <c r="B1072" t="s">
        <v>8</v>
      </c>
      <c r="C1072" s="3">
        <v>560650.44040500699</v>
      </c>
      <c r="D1072" s="3">
        <v>436765.92</v>
      </c>
      <c r="E1072" s="3">
        <v>300427.923105155</v>
      </c>
      <c r="F1072" s="3">
        <v>840958.40829586901</v>
      </c>
      <c r="G1072" s="1">
        <v>44926</v>
      </c>
      <c r="H1072" s="2">
        <v>45566</v>
      </c>
    </row>
    <row r="1073" spans="1:8" hidden="1" x14ac:dyDescent="0.45">
      <c r="A1073">
        <v>1071</v>
      </c>
      <c r="B1073" t="s">
        <v>8</v>
      </c>
      <c r="C1073" s="3">
        <v>1229510.40816528</v>
      </c>
      <c r="D1073" s="3"/>
      <c r="E1073" s="3">
        <v>775229.23500919901</v>
      </c>
      <c r="F1073" s="3">
        <v>1717262.8286220101</v>
      </c>
      <c r="G1073" s="1">
        <v>44926</v>
      </c>
      <c r="H1073" s="2">
        <v>45597</v>
      </c>
    </row>
    <row r="1074" spans="1:8" hidden="1" x14ac:dyDescent="0.45">
      <c r="A1074">
        <v>1072</v>
      </c>
      <c r="B1074" t="s">
        <v>8</v>
      </c>
      <c r="C1074" s="3">
        <v>285337.49029003002</v>
      </c>
      <c r="D1074" s="3"/>
      <c r="E1074" s="3">
        <v>138828.351214408</v>
      </c>
      <c r="F1074" s="3">
        <v>454331.61345607601</v>
      </c>
      <c r="G1074" s="1">
        <v>44926</v>
      </c>
      <c r="H1074" s="2">
        <v>45627</v>
      </c>
    </row>
    <row r="1075" spans="1:8" hidden="1" x14ac:dyDescent="0.45">
      <c r="A1075">
        <v>1073</v>
      </c>
      <c r="B1075" t="s">
        <v>8</v>
      </c>
      <c r="C1075" s="3">
        <v>647734.25160574401</v>
      </c>
      <c r="D1075" s="3"/>
      <c r="E1075" s="3">
        <v>314010.728826279</v>
      </c>
      <c r="F1075" s="3">
        <v>1014418.94700393</v>
      </c>
      <c r="G1075" s="1">
        <v>44926</v>
      </c>
      <c r="H1075" s="2">
        <v>45658</v>
      </c>
    </row>
    <row r="1076" spans="1:8" hidden="1" x14ac:dyDescent="0.45">
      <c r="A1076">
        <v>1074</v>
      </c>
      <c r="B1076" t="s">
        <v>8</v>
      </c>
      <c r="C1076" s="3">
        <v>547530.88670574897</v>
      </c>
      <c r="D1076" s="3"/>
      <c r="E1076" s="3">
        <v>258336.151848243</v>
      </c>
      <c r="F1076" s="3">
        <v>860748.08070634305</v>
      </c>
      <c r="G1076" s="1">
        <v>44926</v>
      </c>
      <c r="H1076" s="2">
        <v>45689</v>
      </c>
    </row>
    <row r="1077" spans="1:8" hidden="1" x14ac:dyDescent="0.45">
      <c r="A1077">
        <v>1075</v>
      </c>
      <c r="B1077" t="s">
        <v>8</v>
      </c>
      <c r="C1077" s="3">
        <v>1236837.2048893401</v>
      </c>
      <c r="D1077" s="3"/>
      <c r="E1077" s="3">
        <v>686892.12612569495</v>
      </c>
      <c r="F1077" s="3">
        <v>1807745.98425282</v>
      </c>
      <c r="G1077" s="1">
        <v>44926</v>
      </c>
      <c r="H1077" s="2">
        <v>45717</v>
      </c>
    </row>
    <row r="1078" spans="1:8" hidden="1" x14ac:dyDescent="0.45">
      <c r="A1078">
        <v>1076</v>
      </c>
      <c r="B1078" t="s">
        <v>8</v>
      </c>
      <c r="C1078" s="3">
        <v>238848.86257988299</v>
      </c>
      <c r="D1078" s="3"/>
      <c r="E1078" s="3">
        <v>94348.008106310503</v>
      </c>
      <c r="F1078" s="3">
        <v>408688.71191041201</v>
      </c>
      <c r="G1078" s="1">
        <v>44926</v>
      </c>
      <c r="H1078" s="2">
        <v>45748</v>
      </c>
    </row>
    <row r="1079" spans="1:8" hidden="1" x14ac:dyDescent="0.45">
      <c r="A1079">
        <v>1077</v>
      </c>
      <c r="B1079" t="s">
        <v>8</v>
      </c>
      <c r="C1079" s="3">
        <v>382964.67477217899</v>
      </c>
      <c r="D1079" s="3"/>
      <c r="E1079" s="3">
        <v>182081.17235764299</v>
      </c>
      <c r="F1079" s="3">
        <v>615339.60605580499</v>
      </c>
      <c r="G1079" s="1">
        <v>44926</v>
      </c>
      <c r="H1079" s="2">
        <v>45778</v>
      </c>
    </row>
    <row r="1080" spans="1:8" hidden="1" x14ac:dyDescent="0.45">
      <c r="A1080">
        <v>1078</v>
      </c>
      <c r="B1080" t="s">
        <v>8</v>
      </c>
      <c r="C1080" s="3">
        <v>642232.71503042604</v>
      </c>
      <c r="D1080" s="3"/>
      <c r="E1080" s="3">
        <v>337401.809632866</v>
      </c>
      <c r="F1080" s="3">
        <v>973549.269256967</v>
      </c>
      <c r="G1080" s="1">
        <v>44926</v>
      </c>
      <c r="H1080" s="2">
        <v>45809</v>
      </c>
    </row>
    <row r="1081" spans="1:8" hidden="1" x14ac:dyDescent="0.45">
      <c r="A1081">
        <v>1079</v>
      </c>
      <c r="B1081" t="s">
        <v>8</v>
      </c>
      <c r="C1081" s="3">
        <v>630817.25653558399</v>
      </c>
      <c r="D1081" s="3"/>
      <c r="E1081" s="3">
        <v>337979.16072223103</v>
      </c>
      <c r="F1081" s="3">
        <v>948980.91303678602</v>
      </c>
      <c r="G1081" s="1">
        <v>44926</v>
      </c>
      <c r="H1081" s="2">
        <v>45839</v>
      </c>
    </row>
    <row r="1082" spans="1:8" hidden="1" x14ac:dyDescent="0.45">
      <c r="A1082">
        <v>1080</v>
      </c>
      <c r="B1082" t="s">
        <v>8</v>
      </c>
      <c r="C1082" s="3">
        <v>642465.63235154399</v>
      </c>
      <c r="D1082" s="3"/>
      <c r="E1082" s="3">
        <v>340805.594971093</v>
      </c>
      <c r="F1082" s="3">
        <v>949766.39172463794</v>
      </c>
      <c r="G1082" s="1">
        <v>44926</v>
      </c>
      <c r="H1082" s="2">
        <v>45870</v>
      </c>
    </row>
    <row r="1083" spans="1:8" hidden="1" x14ac:dyDescent="0.45">
      <c r="A1083">
        <v>1081</v>
      </c>
      <c r="B1083" t="s">
        <v>8</v>
      </c>
      <c r="C1083" s="3">
        <v>536524.49288329505</v>
      </c>
      <c r="D1083" s="3"/>
      <c r="E1083" s="3">
        <v>301225.76941645099</v>
      </c>
      <c r="F1083" s="3">
        <v>804361.69322679495</v>
      </c>
      <c r="G1083" s="1">
        <v>44926</v>
      </c>
      <c r="H1083" s="2">
        <v>45901</v>
      </c>
    </row>
    <row r="1084" spans="1:8" hidden="1" x14ac:dyDescent="0.45">
      <c r="A1084">
        <v>1082</v>
      </c>
      <c r="B1084" t="s">
        <v>8</v>
      </c>
      <c r="C1084" s="3">
        <v>457522.39015752799</v>
      </c>
      <c r="D1084" s="3"/>
      <c r="E1084" s="3">
        <v>244310.80521516001</v>
      </c>
      <c r="F1084" s="3">
        <v>685025.57551358896</v>
      </c>
      <c r="G1084" s="1">
        <v>44926</v>
      </c>
      <c r="H1084" s="2">
        <v>45931</v>
      </c>
    </row>
    <row r="1085" spans="1:8" hidden="1" x14ac:dyDescent="0.45">
      <c r="A1085">
        <v>1083</v>
      </c>
      <c r="B1085" t="s">
        <v>7</v>
      </c>
      <c r="C1085" s="3">
        <v>156113.53010411799</v>
      </c>
      <c r="D1085" s="3">
        <v>28250.62</v>
      </c>
      <c r="E1085" s="3">
        <v>85423.277603012801</v>
      </c>
      <c r="F1085" s="3">
        <v>230463.264341523</v>
      </c>
      <c r="G1085" s="1">
        <v>44957</v>
      </c>
      <c r="H1085" s="2">
        <v>44228</v>
      </c>
    </row>
    <row r="1086" spans="1:8" hidden="1" x14ac:dyDescent="0.45">
      <c r="A1086">
        <v>1084</v>
      </c>
      <c r="B1086" t="s">
        <v>7</v>
      </c>
      <c r="C1086" s="3">
        <v>372134.32695547101</v>
      </c>
      <c r="D1086" s="3">
        <v>36247.919999999998</v>
      </c>
      <c r="E1086" s="3">
        <v>239399.00705828401</v>
      </c>
      <c r="F1086" s="3">
        <v>501702.16557546501</v>
      </c>
      <c r="G1086" s="1">
        <v>44957</v>
      </c>
      <c r="H1086" s="2">
        <v>44256</v>
      </c>
    </row>
    <row r="1087" spans="1:8" hidden="1" x14ac:dyDescent="0.45">
      <c r="A1087">
        <v>1085</v>
      </c>
      <c r="B1087" t="s">
        <v>7</v>
      </c>
      <c r="C1087" s="3">
        <v>108647.248171795</v>
      </c>
      <c r="D1087" s="3">
        <v>14721.48</v>
      </c>
      <c r="E1087" s="3">
        <v>50163.374747558701</v>
      </c>
      <c r="F1087" s="3">
        <v>176624.87626658301</v>
      </c>
      <c r="G1087" s="1">
        <v>44957</v>
      </c>
      <c r="H1087" s="2">
        <v>44287</v>
      </c>
    </row>
    <row r="1088" spans="1:8" hidden="1" x14ac:dyDescent="0.45">
      <c r="A1088">
        <v>1086</v>
      </c>
      <c r="B1088" t="s">
        <v>7</v>
      </c>
      <c r="C1088" s="3">
        <v>194659.24008372499</v>
      </c>
      <c r="D1088" s="3">
        <v>94346.71</v>
      </c>
      <c r="E1088" s="3">
        <v>102356.09432923001</v>
      </c>
      <c r="F1088" s="3">
        <v>299997.13492854103</v>
      </c>
      <c r="G1088" s="1">
        <v>44957</v>
      </c>
      <c r="H1088" s="2">
        <v>44317</v>
      </c>
    </row>
    <row r="1089" spans="1:8" hidden="1" x14ac:dyDescent="0.45">
      <c r="A1089">
        <v>1087</v>
      </c>
      <c r="B1089" t="s">
        <v>7</v>
      </c>
      <c r="C1089" s="3">
        <v>528631.07545869995</v>
      </c>
      <c r="D1089" s="3">
        <v>970740.72</v>
      </c>
      <c r="E1089" s="3">
        <v>333365.97410123202</v>
      </c>
      <c r="F1089" s="3">
        <v>749630.96939894196</v>
      </c>
      <c r="G1089" s="1">
        <v>44957</v>
      </c>
      <c r="H1089" s="2">
        <v>44348</v>
      </c>
    </row>
    <row r="1090" spans="1:8" hidden="1" x14ac:dyDescent="0.45">
      <c r="A1090">
        <v>1088</v>
      </c>
      <c r="B1090" t="s">
        <v>7</v>
      </c>
      <c r="C1090" s="3">
        <v>1137829.0646418999</v>
      </c>
      <c r="D1090" s="3">
        <v>1798271.24</v>
      </c>
      <c r="E1090" s="3">
        <v>755409.43687942903</v>
      </c>
      <c r="F1090" s="3">
        <v>1526519.6926522199</v>
      </c>
      <c r="G1090" s="1">
        <v>44957</v>
      </c>
      <c r="H1090" s="2">
        <v>44378</v>
      </c>
    </row>
    <row r="1091" spans="1:8" hidden="1" x14ac:dyDescent="0.45">
      <c r="A1091">
        <v>1089</v>
      </c>
      <c r="B1091" t="s">
        <v>7</v>
      </c>
      <c r="C1091" s="3">
        <v>1092073.75274406</v>
      </c>
      <c r="D1091" s="3">
        <v>700449.31</v>
      </c>
      <c r="E1091" s="3">
        <v>706920.60223887698</v>
      </c>
      <c r="F1091" s="3">
        <v>1491897.8056030499</v>
      </c>
      <c r="G1091" s="1">
        <v>44957</v>
      </c>
      <c r="H1091" s="2">
        <v>44409</v>
      </c>
    </row>
    <row r="1092" spans="1:8" hidden="1" x14ac:dyDescent="0.45">
      <c r="A1092">
        <v>1090</v>
      </c>
      <c r="B1092" t="s">
        <v>7</v>
      </c>
      <c r="C1092" s="3">
        <v>1152153.8811133499</v>
      </c>
      <c r="D1092" s="3">
        <v>1784906.52</v>
      </c>
      <c r="E1092" s="3">
        <v>745211.16831882705</v>
      </c>
      <c r="F1092" s="3">
        <v>1578006.17038021</v>
      </c>
      <c r="G1092" s="1">
        <v>44957</v>
      </c>
      <c r="H1092" s="2">
        <v>44440</v>
      </c>
    </row>
    <row r="1093" spans="1:8" hidden="1" x14ac:dyDescent="0.45">
      <c r="A1093">
        <v>1091</v>
      </c>
      <c r="B1093" t="s">
        <v>7</v>
      </c>
      <c r="C1093" s="3">
        <v>951426.13217106904</v>
      </c>
      <c r="D1093" s="3">
        <v>706422.77</v>
      </c>
      <c r="E1093" s="3">
        <v>588672.65097343596</v>
      </c>
      <c r="F1093" s="3">
        <v>1355839.2888104301</v>
      </c>
      <c r="G1093" s="1">
        <v>44957</v>
      </c>
      <c r="H1093" s="2">
        <v>44470</v>
      </c>
    </row>
    <row r="1094" spans="1:8" hidden="1" x14ac:dyDescent="0.45">
      <c r="A1094">
        <v>1092</v>
      </c>
      <c r="B1094" t="s">
        <v>7</v>
      </c>
      <c r="C1094" s="3">
        <v>2251423.26163211</v>
      </c>
      <c r="D1094" s="3">
        <v>3115611.92</v>
      </c>
      <c r="E1094" s="3">
        <v>1615081.1520543699</v>
      </c>
      <c r="F1094" s="3">
        <v>2905177.7282732599</v>
      </c>
      <c r="G1094" s="1">
        <v>44957</v>
      </c>
      <c r="H1094" s="2">
        <v>44501</v>
      </c>
    </row>
    <row r="1095" spans="1:8" hidden="1" x14ac:dyDescent="0.45">
      <c r="A1095">
        <v>1093</v>
      </c>
      <c r="B1095" t="s">
        <v>7</v>
      </c>
      <c r="C1095" s="3">
        <v>593829.08080566302</v>
      </c>
      <c r="D1095" s="3">
        <v>227049.91</v>
      </c>
      <c r="E1095" s="3">
        <v>310097.86037220602</v>
      </c>
      <c r="F1095" s="3">
        <v>917750.31721872604</v>
      </c>
      <c r="G1095" s="1">
        <v>44957</v>
      </c>
      <c r="H1095" s="2">
        <v>44531</v>
      </c>
    </row>
    <row r="1096" spans="1:8" hidden="1" x14ac:dyDescent="0.45">
      <c r="A1096">
        <v>1094</v>
      </c>
      <c r="B1096" t="s">
        <v>7</v>
      </c>
      <c r="C1096" s="3">
        <v>1228309.8635779701</v>
      </c>
      <c r="D1096" s="3">
        <v>1231496.1499999999</v>
      </c>
      <c r="E1096" s="3">
        <v>772961.52322639304</v>
      </c>
      <c r="F1096" s="3">
        <v>1725481.3643042301</v>
      </c>
      <c r="G1096" s="1">
        <v>44957</v>
      </c>
      <c r="H1096" s="2">
        <v>44562</v>
      </c>
    </row>
    <row r="1097" spans="1:8" hidden="1" x14ac:dyDescent="0.45">
      <c r="A1097">
        <v>1095</v>
      </c>
      <c r="B1097" t="s">
        <v>7</v>
      </c>
      <c r="C1097" s="3">
        <v>1030639.59305266</v>
      </c>
      <c r="D1097" s="3">
        <v>1031231.86</v>
      </c>
      <c r="E1097" s="3">
        <v>591298.96523464401</v>
      </c>
      <c r="F1097" s="3">
        <v>1517213.04159991</v>
      </c>
      <c r="G1097" s="1">
        <v>44957</v>
      </c>
      <c r="H1097" s="2">
        <v>44593</v>
      </c>
    </row>
    <row r="1098" spans="1:8" hidden="1" x14ac:dyDescent="0.45">
      <c r="A1098">
        <v>1096</v>
      </c>
      <c r="B1098" t="s">
        <v>7</v>
      </c>
      <c r="C1098" s="3">
        <v>2417477.2305326601</v>
      </c>
      <c r="D1098" s="3">
        <v>2866780.02</v>
      </c>
      <c r="E1098" s="3">
        <v>1635076.4484906499</v>
      </c>
      <c r="F1098" s="3">
        <v>3239269.2651237799</v>
      </c>
      <c r="G1098" s="1">
        <v>44957</v>
      </c>
      <c r="H1098" s="2">
        <v>44621</v>
      </c>
    </row>
    <row r="1099" spans="1:8" hidden="1" x14ac:dyDescent="0.45">
      <c r="A1099">
        <v>1097</v>
      </c>
      <c r="B1099" t="s">
        <v>7</v>
      </c>
      <c r="C1099" s="3">
        <v>511263.61838040501</v>
      </c>
      <c r="D1099" s="3">
        <v>106305.83</v>
      </c>
      <c r="E1099" s="3">
        <v>228897.50586784401</v>
      </c>
      <c r="F1099" s="3">
        <v>835944.96641097299</v>
      </c>
      <c r="G1099" s="1">
        <v>44957</v>
      </c>
      <c r="H1099" s="2">
        <v>44652</v>
      </c>
    </row>
    <row r="1100" spans="1:8" hidden="1" x14ac:dyDescent="0.45">
      <c r="A1100">
        <v>1098</v>
      </c>
      <c r="B1100" t="s">
        <v>7</v>
      </c>
      <c r="C1100" s="3">
        <v>802184.28211614303</v>
      </c>
      <c r="D1100" s="3">
        <v>667164.73</v>
      </c>
      <c r="E1100" s="3">
        <v>405187.03141453798</v>
      </c>
      <c r="F1100" s="3">
        <v>1230942.4347189199</v>
      </c>
      <c r="G1100" s="1">
        <v>44957</v>
      </c>
      <c r="H1100" s="2">
        <v>44682</v>
      </c>
    </row>
    <row r="1101" spans="1:8" hidden="1" x14ac:dyDescent="0.45">
      <c r="A1101">
        <v>1099</v>
      </c>
      <c r="B1101" t="s">
        <v>7</v>
      </c>
      <c r="C1101" s="3">
        <v>1311730.80239091</v>
      </c>
      <c r="D1101" s="3">
        <v>1398761.09</v>
      </c>
      <c r="E1101" s="3">
        <v>789755.36748460797</v>
      </c>
      <c r="F1101" s="3">
        <v>1893390.09605291</v>
      </c>
      <c r="G1101" s="1">
        <v>44957</v>
      </c>
      <c r="H1101" s="2">
        <v>44713</v>
      </c>
    </row>
    <row r="1102" spans="1:8" hidden="1" x14ac:dyDescent="0.45">
      <c r="A1102">
        <v>1100</v>
      </c>
      <c r="B1102" t="s">
        <v>7</v>
      </c>
      <c r="C1102" s="3">
        <v>1382522.11031783</v>
      </c>
      <c r="D1102" s="3">
        <v>931475.54</v>
      </c>
      <c r="E1102" s="3">
        <v>840344.26319866697</v>
      </c>
      <c r="F1102" s="3">
        <v>1965408.4596901899</v>
      </c>
      <c r="G1102" s="1">
        <v>44957</v>
      </c>
      <c r="H1102" s="2">
        <v>44743</v>
      </c>
    </row>
    <row r="1103" spans="1:8" hidden="1" x14ac:dyDescent="0.45">
      <c r="A1103">
        <v>1101</v>
      </c>
      <c r="B1103" t="s">
        <v>7</v>
      </c>
      <c r="C1103" s="3">
        <v>1262256.8488735701</v>
      </c>
      <c r="D1103" s="3">
        <v>1335916.6499999999</v>
      </c>
      <c r="E1103" s="3">
        <v>761003.62415308401</v>
      </c>
      <c r="F1103" s="3">
        <v>1776074.27561601</v>
      </c>
      <c r="G1103" s="1">
        <v>44957</v>
      </c>
      <c r="H1103" s="2">
        <v>44774</v>
      </c>
    </row>
    <row r="1104" spans="1:8" hidden="1" x14ac:dyDescent="0.45">
      <c r="A1104">
        <v>1102</v>
      </c>
      <c r="B1104" t="s">
        <v>7</v>
      </c>
      <c r="C1104" s="3">
        <v>1120937.22187996</v>
      </c>
      <c r="D1104" s="3">
        <v>976647.27</v>
      </c>
      <c r="E1104" s="3">
        <v>674259.49165841099</v>
      </c>
      <c r="F1104" s="3">
        <v>1602876.47950562</v>
      </c>
      <c r="G1104" s="1">
        <v>44957</v>
      </c>
      <c r="H1104" s="2">
        <v>44805</v>
      </c>
    </row>
    <row r="1105" spans="1:8" hidden="1" x14ac:dyDescent="0.45">
      <c r="A1105">
        <v>1103</v>
      </c>
      <c r="B1105" t="s">
        <v>7</v>
      </c>
      <c r="C1105" s="3">
        <v>923999.18539829005</v>
      </c>
      <c r="D1105" s="3">
        <v>975982.86</v>
      </c>
      <c r="E1105" s="3">
        <v>514992.03745698399</v>
      </c>
      <c r="F1105" s="3">
        <v>1356840.91825267</v>
      </c>
      <c r="G1105" s="1">
        <v>44957</v>
      </c>
      <c r="H1105" s="2">
        <v>44835</v>
      </c>
    </row>
    <row r="1106" spans="1:8" hidden="1" x14ac:dyDescent="0.45">
      <c r="A1106">
        <v>1104</v>
      </c>
      <c r="B1106" t="s">
        <v>7</v>
      </c>
      <c r="C1106" s="3">
        <v>2162649.11683919</v>
      </c>
      <c r="D1106" s="3">
        <v>2010415.16</v>
      </c>
      <c r="E1106" s="3">
        <v>1432800.2577895301</v>
      </c>
      <c r="F1106" s="3">
        <v>2924769.4852138502</v>
      </c>
      <c r="G1106" s="1">
        <v>44957</v>
      </c>
      <c r="H1106" s="2">
        <v>44866</v>
      </c>
    </row>
    <row r="1107" spans="1:8" hidden="1" x14ac:dyDescent="0.45">
      <c r="A1107">
        <v>1105</v>
      </c>
      <c r="B1107" t="s">
        <v>7</v>
      </c>
      <c r="C1107" s="3">
        <v>489506.43269662699</v>
      </c>
      <c r="D1107" s="3">
        <v>348929.42</v>
      </c>
      <c r="E1107" s="3">
        <v>228993.38534849</v>
      </c>
      <c r="F1107" s="3">
        <v>769446.397938426</v>
      </c>
      <c r="G1107" s="1">
        <v>44957</v>
      </c>
      <c r="H1107" s="2">
        <v>44896</v>
      </c>
    </row>
    <row r="1108" spans="1:8" hidden="1" x14ac:dyDescent="0.45">
      <c r="A1108">
        <v>1106</v>
      </c>
      <c r="B1108" t="s">
        <v>7</v>
      </c>
      <c r="C1108" s="3">
        <v>1043922.47863264</v>
      </c>
      <c r="D1108" s="3">
        <v>1096298.6399999999</v>
      </c>
      <c r="E1108" s="3">
        <v>618742.46556338505</v>
      </c>
      <c r="F1108" s="3">
        <v>1522986.5375342299</v>
      </c>
      <c r="G1108" s="1">
        <v>44957</v>
      </c>
      <c r="H1108" s="2">
        <v>44927</v>
      </c>
    </row>
    <row r="1109" spans="1:8" hidden="1" x14ac:dyDescent="0.45">
      <c r="A1109">
        <v>1107</v>
      </c>
      <c r="B1109" t="s">
        <v>8</v>
      </c>
      <c r="C1109" s="3">
        <v>871153.34944744396</v>
      </c>
      <c r="D1109" s="3">
        <v>974962.48</v>
      </c>
      <c r="E1109" s="3">
        <v>426879.15211740299</v>
      </c>
      <c r="F1109" s="3">
        <v>1351012.73806507</v>
      </c>
      <c r="G1109" s="1">
        <v>44957</v>
      </c>
      <c r="H1109" s="2">
        <v>44958</v>
      </c>
    </row>
    <row r="1110" spans="1:8" hidden="1" x14ac:dyDescent="0.45">
      <c r="A1110">
        <v>1108</v>
      </c>
      <c r="B1110" t="s">
        <v>8</v>
      </c>
      <c r="C1110" s="3">
        <v>2092629.0265128501</v>
      </c>
      <c r="D1110" s="3">
        <v>596765.23</v>
      </c>
      <c r="E1110" s="3">
        <v>1208081.6743452901</v>
      </c>
      <c r="F1110" s="3">
        <v>3021911.77143342</v>
      </c>
      <c r="G1110" s="1">
        <v>44957</v>
      </c>
      <c r="H1110" s="2">
        <v>44986</v>
      </c>
    </row>
    <row r="1111" spans="1:8" hidden="1" x14ac:dyDescent="0.45">
      <c r="A1111">
        <v>1109</v>
      </c>
      <c r="B1111" t="s">
        <v>8</v>
      </c>
      <c r="C1111" s="3">
        <v>385984.15365020197</v>
      </c>
      <c r="D1111" s="3">
        <v>988230.51</v>
      </c>
      <c r="E1111" s="3">
        <v>158509.767743537</v>
      </c>
      <c r="F1111" s="3">
        <v>658539.58088104997</v>
      </c>
      <c r="G1111" s="1">
        <v>44957</v>
      </c>
      <c r="H1111" s="2">
        <v>45017</v>
      </c>
    </row>
    <row r="1112" spans="1:8" hidden="1" x14ac:dyDescent="0.45">
      <c r="A1112">
        <v>1110</v>
      </c>
      <c r="B1112" t="s">
        <v>8</v>
      </c>
      <c r="C1112" s="3">
        <v>611657.89112176304</v>
      </c>
      <c r="D1112" s="3">
        <v>1045013.47</v>
      </c>
      <c r="E1112" s="3">
        <v>286887.810428467</v>
      </c>
      <c r="F1112" s="3">
        <v>995757.75351677497</v>
      </c>
      <c r="G1112" s="1">
        <v>44957</v>
      </c>
      <c r="H1112" s="2">
        <v>45047</v>
      </c>
    </row>
    <row r="1113" spans="1:8" hidden="1" x14ac:dyDescent="0.45">
      <c r="A1113">
        <v>1111</v>
      </c>
      <c r="B1113" t="s">
        <v>8</v>
      </c>
      <c r="C1113" s="3">
        <v>1018159.14806759</v>
      </c>
      <c r="D1113" s="3">
        <v>876678.87999999896</v>
      </c>
      <c r="E1113" s="3">
        <v>551121.81886166497</v>
      </c>
      <c r="F1113" s="3">
        <v>1551470.1263826599</v>
      </c>
      <c r="G1113" s="1">
        <v>44957</v>
      </c>
      <c r="H1113" s="2">
        <v>45078</v>
      </c>
    </row>
    <row r="1114" spans="1:8" hidden="1" x14ac:dyDescent="0.45">
      <c r="A1114">
        <v>1112</v>
      </c>
      <c r="B1114" t="s">
        <v>8</v>
      </c>
      <c r="C1114" s="3">
        <v>1021213.29806073</v>
      </c>
      <c r="D1114" s="3">
        <v>893534.82</v>
      </c>
      <c r="E1114" s="3">
        <v>561277.97357616597</v>
      </c>
      <c r="F1114" s="3">
        <v>1532845.58124319</v>
      </c>
      <c r="G1114" s="1">
        <v>44957</v>
      </c>
      <c r="H1114" s="2">
        <v>45108</v>
      </c>
    </row>
    <row r="1115" spans="1:8" hidden="1" x14ac:dyDescent="0.45">
      <c r="A1115">
        <v>1113</v>
      </c>
      <c r="B1115" t="s">
        <v>8</v>
      </c>
      <c r="C1115" s="3">
        <v>1007178.6659118599</v>
      </c>
      <c r="D1115" s="3">
        <v>928310.17</v>
      </c>
      <c r="E1115" s="3">
        <v>557839.57409130398</v>
      </c>
      <c r="F1115" s="3">
        <v>1497722.9626370999</v>
      </c>
      <c r="G1115" s="1">
        <v>44957</v>
      </c>
      <c r="H1115" s="2">
        <v>45139</v>
      </c>
    </row>
    <row r="1116" spans="1:8" hidden="1" x14ac:dyDescent="0.45">
      <c r="A1116">
        <v>1114</v>
      </c>
      <c r="B1116" t="s">
        <v>8</v>
      </c>
      <c r="C1116" s="3">
        <v>862087.20211104502</v>
      </c>
      <c r="D1116" s="3">
        <v>1007176.18</v>
      </c>
      <c r="E1116" s="3">
        <v>481343.14105499</v>
      </c>
      <c r="F1116" s="3">
        <v>1294715.33870463</v>
      </c>
      <c r="G1116" s="1">
        <v>44957</v>
      </c>
      <c r="H1116" s="2">
        <v>45170</v>
      </c>
    </row>
    <row r="1117" spans="1:8" hidden="1" x14ac:dyDescent="0.45">
      <c r="A1117">
        <v>1115</v>
      </c>
      <c r="B1117" t="s">
        <v>8</v>
      </c>
      <c r="C1117" s="3">
        <v>724741.47063900495</v>
      </c>
      <c r="D1117" s="3">
        <v>896609.13999999897</v>
      </c>
      <c r="E1117" s="3">
        <v>382298.69850302697</v>
      </c>
      <c r="F1117" s="3">
        <v>1093901.2301481599</v>
      </c>
      <c r="G1117" s="1">
        <v>44957</v>
      </c>
      <c r="H1117" s="2">
        <v>45200</v>
      </c>
    </row>
    <row r="1118" spans="1:8" hidden="1" x14ac:dyDescent="0.45">
      <c r="A1118">
        <v>1116</v>
      </c>
      <c r="B1118" t="s">
        <v>8</v>
      </c>
      <c r="C1118" s="3">
        <v>1630226.08020754</v>
      </c>
      <c r="D1118" s="3">
        <v>1524535.23</v>
      </c>
      <c r="E1118" s="3">
        <v>1001565.6051914199</v>
      </c>
      <c r="F1118" s="3">
        <v>2291111.42697838</v>
      </c>
      <c r="G1118" s="1">
        <v>44957</v>
      </c>
      <c r="H1118" s="2">
        <v>45231</v>
      </c>
    </row>
    <row r="1119" spans="1:8" hidden="1" x14ac:dyDescent="0.45">
      <c r="A1119">
        <v>1117</v>
      </c>
      <c r="B1119" t="s">
        <v>8</v>
      </c>
      <c r="C1119" s="3">
        <v>361684.09673034999</v>
      </c>
      <c r="D1119" s="3">
        <v>650983.799999999</v>
      </c>
      <c r="E1119" s="3">
        <v>166227.030660305</v>
      </c>
      <c r="F1119" s="3">
        <v>583227.34932515002</v>
      </c>
      <c r="G1119" s="1">
        <v>44957</v>
      </c>
      <c r="H1119" s="2">
        <v>45261</v>
      </c>
    </row>
    <row r="1120" spans="1:8" hidden="1" x14ac:dyDescent="0.45">
      <c r="A1120">
        <v>1118</v>
      </c>
      <c r="B1120" t="s">
        <v>8</v>
      </c>
      <c r="C1120" s="3">
        <v>780441.13818024704</v>
      </c>
      <c r="D1120" s="3">
        <v>1006373.05</v>
      </c>
      <c r="E1120" s="3">
        <v>440517.45734928298</v>
      </c>
      <c r="F1120" s="3">
        <v>1165716.5829383</v>
      </c>
      <c r="G1120" s="1">
        <v>44957</v>
      </c>
      <c r="H1120" s="2">
        <v>45292</v>
      </c>
    </row>
    <row r="1121" spans="1:8" hidden="1" x14ac:dyDescent="0.45">
      <c r="A1121">
        <v>1119</v>
      </c>
      <c r="B1121" t="s">
        <v>8</v>
      </c>
      <c r="C1121" s="3">
        <v>663154.11675343302</v>
      </c>
      <c r="D1121" s="3">
        <v>672193.7</v>
      </c>
      <c r="E1121" s="3">
        <v>315621.962554058</v>
      </c>
      <c r="F1121" s="3">
        <v>1032360.61651369</v>
      </c>
      <c r="G1121" s="1">
        <v>44957</v>
      </c>
      <c r="H1121" s="2">
        <v>45323</v>
      </c>
    </row>
    <row r="1122" spans="1:8" hidden="1" x14ac:dyDescent="0.45">
      <c r="A1122">
        <v>1120</v>
      </c>
      <c r="B1122" t="s">
        <v>8</v>
      </c>
      <c r="C1122" s="3">
        <v>1598577.7659936701</v>
      </c>
      <c r="D1122" s="3">
        <v>675614.75</v>
      </c>
      <c r="E1122" s="3">
        <v>894016.630795512</v>
      </c>
      <c r="F1122" s="3">
        <v>2319383.4062479301</v>
      </c>
      <c r="G1122" s="1">
        <v>44957</v>
      </c>
      <c r="H1122" s="2">
        <v>45352</v>
      </c>
    </row>
    <row r="1123" spans="1:8" hidden="1" x14ac:dyDescent="0.45">
      <c r="A1123">
        <v>1121</v>
      </c>
      <c r="B1123" t="s">
        <v>8</v>
      </c>
      <c r="C1123" s="3">
        <v>306476.13890740601</v>
      </c>
      <c r="D1123" s="3">
        <v>1053569.05</v>
      </c>
      <c r="E1123" s="3">
        <v>121768.85975198299</v>
      </c>
      <c r="F1123" s="3">
        <v>527068.706497901</v>
      </c>
      <c r="G1123" s="1">
        <v>44957</v>
      </c>
      <c r="H1123" s="2">
        <v>45383</v>
      </c>
    </row>
    <row r="1124" spans="1:8" hidden="1" x14ac:dyDescent="0.45">
      <c r="A1124">
        <v>1122</v>
      </c>
      <c r="B1124" t="s">
        <v>8</v>
      </c>
      <c r="C1124" s="3">
        <v>489623.66448294098</v>
      </c>
      <c r="D1124" s="3">
        <v>563121.04</v>
      </c>
      <c r="E1124" s="3">
        <v>230444.55171266501</v>
      </c>
      <c r="F1124" s="3">
        <v>799246.083310902</v>
      </c>
      <c r="G1124" s="1">
        <v>44957</v>
      </c>
      <c r="H1124" s="2">
        <v>45413</v>
      </c>
    </row>
    <row r="1125" spans="1:8" hidden="1" x14ac:dyDescent="0.45">
      <c r="A1125">
        <v>1123</v>
      </c>
      <c r="B1125" t="s">
        <v>8</v>
      </c>
      <c r="C1125" s="3">
        <v>826079.63743765501</v>
      </c>
      <c r="D1125" s="3">
        <v>593013.1</v>
      </c>
      <c r="E1125" s="3">
        <v>445233.91680780897</v>
      </c>
      <c r="F1125" s="3">
        <v>1270347.70402747</v>
      </c>
      <c r="G1125" s="1">
        <v>44957</v>
      </c>
      <c r="H1125" s="2">
        <v>45444</v>
      </c>
    </row>
    <row r="1126" spans="1:8" hidden="1" x14ac:dyDescent="0.45">
      <c r="A1126">
        <v>1124</v>
      </c>
      <c r="B1126" t="s">
        <v>8</v>
      </c>
      <c r="C1126" s="3">
        <v>823030.46653596102</v>
      </c>
      <c r="D1126" s="3">
        <v>650762.49</v>
      </c>
      <c r="E1126" s="3">
        <v>444988.42330014001</v>
      </c>
      <c r="F1126" s="3">
        <v>1240798.7706489</v>
      </c>
      <c r="G1126" s="1">
        <v>44957</v>
      </c>
      <c r="H1126" s="2">
        <v>45474</v>
      </c>
    </row>
    <row r="1127" spans="1:8" hidden="1" x14ac:dyDescent="0.45">
      <c r="A1127">
        <v>1125</v>
      </c>
      <c r="B1127" t="s">
        <v>8</v>
      </c>
      <c r="C1127" s="3">
        <v>816937.41589700605</v>
      </c>
      <c r="D1127" s="3">
        <v>610288.9</v>
      </c>
      <c r="E1127" s="3">
        <v>459063.011727501</v>
      </c>
      <c r="F1127" s="3">
        <v>1229028.9890997</v>
      </c>
      <c r="G1127" s="1">
        <v>44957</v>
      </c>
      <c r="H1127" s="2">
        <v>45505</v>
      </c>
    </row>
    <row r="1128" spans="1:8" hidden="1" x14ac:dyDescent="0.45">
      <c r="A1128">
        <v>1126</v>
      </c>
      <c r="B1128" t="s">
        <v>8</v>
      </c>
      <c r="C1128" s="3">
        <v>704251.36578094005</v>
      </c>
      <c r="D1128" s="3">
        <v>1116230.18</v>
      </c>
      <c r="E1128" s="3">
        <v>384347.01643651997</v>
      </c>
      <c r="F1128" s="3">
        <v>1050443.4477733499</v>
      </c>
      <c r="G1128" s="1">
        <v>44957</v>
      </c>
      <c r="H1128" s="2">
        <v>45536</v>
      </c>
    </row>
    <row r="1129" spans="1:8" hidden="1" x14ac:dyDescent="0.45">
      <c r="A1129">
        <v>1127</v>
      </c>
      <c r="B1129" t="s">
        <v>8</v>
      </c>
      <c r="C1129" s="3">
        <v>592890.42287383694</v>
      </c>
      <c r="D1129" s="3">
        <v>439329.86</v>
      </c>
      <c r="E1129" s="3">
        <v>307797.41849893099</v>
      </c>
      <c r="F1129" s="3">
        <v>891614.36858172005</v>
      </c>
      <c r="G1129" s="1">
        <v>44957</v>
      </c>
      <c r="H1129" s="2">
        <v>45566</v>
      </c>
    </row>
    <row r="1130" spans="1:8" hidden="1" x14ac:dyDescent="0.45">
      <c r="A1130">
        <v>1128</v>
      </c>
      <c r="B1130" t="s">
        <v>8</v>
      </c>
      <c r="C1130" s="3">
        <v>1330941.60546356</v>
      </c>
      <c r="D1130" s="3"/>
      <c r="E1130" s="3">
        <v>820360.68053772103</v>
      </c>
      <c r="F1130" s="3">
        <v>1877073.8887998001</v>
      </c>
      <c r="G1130" s="1">
        <v>44957</v>
      </c>
      <c r="H1130" s="2">
        <v>45597</v>
      </c>
    </row>
    <row r="1131" spans="1:8" hidden="1" x14ac:dyDescent="0.45">
      <c r="A1131">
        <v>1129</v>
      </c>
      <c r="B1131" t="s">
        <v>8</v>
      </c>
      <c r="C1131" s="3">
        <v>298997.15464866202</v>
      </c>
      <c r="D1131" s="3"/>
      <c r="E1131" s="3">
        <v>138841.908838615</v>
      </c>
      <c r="F1131" s="3">
        <v>483580.10798440099</v>
      </c>
      <c r="G1131" s="1">
        <v>44957</v>
      </c>
      <c r="H1131" s="2">
        <v>45627</v>
      </c>
    </row>
    <row r="1132" spans="1:8" hidden="1" x14ac:dyDescent="0.45">
      <c r="A1132">
        <v>1130</v>
      </c>
      <c r="B1132" t="s">
        <v>8</v>
      </c>
      <c r="C1132" s="3">
        <v>645516.41457779706</v>
      </c>
      <c r="D1132" s="3"/>
      <c r="E1132" s="3">
        <v>366317.76769395301</v>
      </c>
      <c r="F1132" s="3">
        <v>964339.02818827005</v>
      </c>
      <c r="G1132" s="1">
        <v>44957</v>
      </c>
      <c r="H1132" s="2">
        <v>45658</v>
      </c>
    </row>
    <row r="1133" spans="1:8" hidden="1" x14ac:dyDescent="0.45">
      <c r="A1133">
        <v>1131</v>
      </c>
      <c r="B1133" t="s">
        <v>8</v>
      </c>
      <c r="C1133" s="3">
        <v>547198.23045274697</v>
      </c>
      <c r="D1133" s="3"/>
      <c r="E1133" s="3">
        <v>263476.00813884602</v>
      </c>
      <c r="F1133" s="3">
        <v>852332.425882846</v>
      </c>
      <c r="G1133" s="1">
        <v>44957</v>
      </c>
      <c r="H1133" s="2">
        <v>45689</v>
      </c>
    </row>
    <row r="1134" spans="1:8" hidden="1" x14ac:dyDescent="0.45">
      <c r="A1134">
        <v>1132</v>
      </c>
      <c r="B1134" t="s">
        <v>8</v>
      </c>
      <c r="C1134" s="3">
        <v>1309503.0410345299</v>
      </c>
      <c r="D1134" s="3"/>
      <c r="E1134" s="3">
        <v>746406.46344435099</v>
      </c>
      <c r="F1134" s="3">
        <v>1906618.8239252099</v>
      </c>
      <c r="G1134" s="1">
        <v>44957</v>
      </c>
      <c r="H1134" s="2">
        <v>45717</v>
      </c>
    </row>
    <row r="1135" spans="1:8" hidden="1" x14ac:dyDescent="0.45">
      <c r="A1135">
        <v>1133</v>
      </c>
      <c r="B1135" t="s">
        <v>8</v>
      </c>
      <c r="C1135" s="3">
        <v>253741.61807746501</v>
      </c>
      <c r="D1135" s="3"/>
      <c r="E1135" s="3">
        <v>101332.89021036901</v>
      </c>
      <c r="F1135" s="3">
        <v>437753.145789398</v>
      </c>
      <c r="G1135" s="1">
        <v>44957</v>
      </c>
      <c r="H1135" s="2">
        <v>45748</v>
      </c>
    </row>
    <row r="1136" spans="1:8" hidden="1" x14ac:dyDescent="0.45">
      <c r="A1136">
        <v>1134</v>
      </c>
      <c r="B1136" t="s">
        <v>8</v>
      </c>
      <c r="C1136" s="3">
        <v>406168.07669521403</v>
      </c>
      <c r="D1136" s="3"/>
      <c r="E1136" s="3">
        <v>189474.402073737</v>
      </c>
      <c r="F1136" s="3">
        <v>658973.25886647496</v>
      </c>
      <c r="G1136" s="1">
        <v>44957</v>
      </c>
      <c r="H1136" s="2">
        <v>45778</v>
      </c>
    </row>
    <row r="1137" spans="1:8" hidden="1" x14ac:dyDescent="0.45">
      <c r="A1137">
        <v>1135</v>
      </c>
      <c r="B1137" t="s">
        <v>8</v>
      </c>
      <c r="C1137" s="3">
        <v>689403.496916465</v>
      </c>
      <c r="D1137" s="3"/>
      <c r="E1137" s="3">
        <v>374022.20906184003</v>
      </c>
      <c r="F1137" s="3">
        <v>1059685.00655555</v>
      </c>
      <c r="G1137" s="1">
        <v>44957</v>
      </c>
      <c r="H1137" s="2">
        <v>45809</v>
      </c>
    </row>
    <row r="1138" spans="1:8" hidden="1" x14ac:dyDescent="0.45">
      <c r="A1138">
        <v>1136</v>
      </c>
      <c r="B1138" t="s">
        <v>8</v>
      </c>
      <c r="C1138" s="3">
        <v>687040.10330229101</v>
      </c>
      <c r="D1138" s="3"/>
      <c r="E1138" s="3">
        <v>371108.51468621101</v>
      </c>
      <c r="F1138" s="3">
        <v>1029384.42854984</v>
      </c>
      <c r="G1138" s="1">
        <v>44957</v>
      </c>
      <c r="H1138" s="2">
        <v>45839</v>
      </c>
    </row>
    <row r="1139" spans="1:8" hidden="1" x14ac:dyDescent="0.45">
      <c r="A1139">
        <v>1137</v>
      </c>
      <c r="B1139" t="s">
        <v>8</v>
      </c>
      <c r="C1139" s="3">
        <v>677749.37004913203</v>
      </c>
      <c r="D1139" s="3"/>
      <c r="E1139" s="3">
        <v>377035.90626681002</v>
      </c>
      <c r="F1139" s="3">
        <v>1015042.24258906</v>
      </c>
      <c r="G1139" s="1">
        <v>44957</v>
      </c>
      <c r="H1139" s="2">
        <v>45870</v>
      </c>
    </row>
    <row r="1140" spans="1:8" hidden="1" x14ac:dyDescent="0.45">
      <c r="A1140">
        <v>1138</v>
      </c>
      <c r="B1140" t="s">
        <v>8</v>
      </c>
      <c r="C1140" s="3">
        <v>587256.26050690096</v>
      </c>
      <c r="D1140" s="3"/>
      <c r="E1140" s="3">
        <v>321886.35831725202</v>
      </c>
      <c r="F1140" s="3">
        <v>874168.25109773304</v>
      </c>
      <c r="G1140" s="1">
        <v>44957</v>
      </c>
      <c r="H1140" s="2">
        <v>45901</v>
      </c>
    </row>
    <row r="1141" spans="1:8" hidden="1" x14ac:dyDescent="0.45">
      <c r="A1141">
        <v>1139</v>
      </c>
      <c r="B1141" t="s">
        <v>8</v>
      </c>
      <c r="C1141" s="3">
        <v>493016.81858561002</v>
      </c>
      <c r="D1141" s="3"/>
      <c r="E1141" s="3">
        <v>258682.53223015199</v>
      </c>
      <c r="F1141" s="3">
        <v>740593.73300572205</v>
      </c>
      <c r="G1141" s="1">
        <v>44957</v>
      </c>
      <c r="H1141" s="2">
        <v>45931</v>
      </c>
    </row>
    <row r="1142" spans="1:8" hidden="1" x14ac:dyDescent="0.45">
      <c r="A1142">
        <v>1140</v>
      </c>
      <c r="B1142" t="s">
        <v>7</v>
      </c>
      <c r="C1142" s="3">
        <v>143615.51437596799</v>
      </c>
      <c r="D1142" s="3">
        <v>28250.62</v>
      </c>
      <c r="E1142" s="3">
        <v>84133.089298678897</v>
      </c>
      <c r="F1142" s="3">
        <v>206583.44349567499</v>
      </c>
      <c r="G1142" s="1">
        <v>44985</v>
      </c>
      <c r="H1142" s="2">
        <v>44228</v>
      </c>
    </row>
    <row r="1143" spans="1:8" hidden="1" x14ac:dyDescent="0.45">
      <c r="A1143">
        <v>1141</v>
      </c>
      <c r="B1143" t="s">
        <v>7</v>
      </c>
      <c r="C1143" s="3">
        <v>372553.807306587</v>
      </c>
      <c r="D1143" s="3">
        <v>36247.919999999998</v>
      </c>
      <c r="E1143" s="3">
        <v>263046.69452747703</v>
      </c>
      <c r="F1143" s="3">
        <v>486780.81237173098</v>
      </c>
      <c r="G1143" s="1">
        <v>44985</v>
      </c>
      <c r="H1143" s="2">
        <v>44256</v>
      </c>
    </row>
    <row r="1144" spans="1:8" hidden="1" x14ac:dyDescent="0.45">
      <c r="A1144">
        <v>1142</v>
      </c>
      <c r="B1144" t="s">
        <v>7</v>
      </c>
      <c r="C1144" s="3">
        <v>105817.861688214</v>
      </c>
      <c r="D1144" s="3">
        <v>14721.48</v>
      </c>
      <c r="E1144" s="3">
        <v>49710.3882681373</v>
      </c>
      <c r="F1144" s="3">
        <v>167701.39604879401</v>
      </c>
      <c r="G1144" s="1">
        <v>44985</v>
      </c>
      <c r="H1144" s="2">
        <v>44287</v>
      </c>
    </row>
    <row r="1145" spans="1:8" hidden="1" x14ac:dyDescent="0.45">
      <c r="A1145">
        <v>1143</v>
      </c>
      <c r="B1145" t="s">
        <v>7</v>
      </c>
      <c r="C1145" s="3">
        <v>185342.495254001</v>
      </c>
      <c r="D1145" s="3">
        <v>94346.71</v>
      </c>
      <c r="E1145" s="3">
        <v>101180.000042265</v>
      </c>
      <c r="F1145" s="3">
        <v>276296.87515053799</v>
      </c>
      <c r="G1145" s="1">
        <v>44985</v>
      </c>
      <c r="H1145" s="2">
        <v>44317</v>
      </c>
    </row>
    <row r="1146" spans="1:8" hidden="1" x14ac:dyDescent="0.45">
      <c r="A1146">
        <v>1144</v>
      </c>
      <c r="B1146" t="s">
        <v>7</v>
      </c>
      <c r="C1146" s="3">
        <v>495954.710075357</v>
      </c>
      <c r="D1146" s="3">
        <v>970740.72</v>
      </c>
      <c r="E1146" s="3">
        <v>311411.68430621299</v>
      </c>
      <c r="F1146" s="3">
        <v>676818.507555041</v>
      </c>
      <c r="G1146" s="1">
        <v>44985</v>
      </c>
      <c r="H1146" s="2">
        <v>44348</v>
      </c>
    </row>
    <row r="1147" spans="1:8" hidden="1" x14ac:dyDescent="0.45">
      <c r="A1147">
        <v>1145</v>
      </c>
      <c r="B1147" t="s">
        <v>7</v>
      </c>
      <c r="C1147" s="3">
        <v>1081595.1106642501</v>
      </c>
      <c r="D1147" s="3">
        <v>1798271.24</v>
      </c>
      <c r="E1147" s="3">
        <v>743137.27722887602</v>
      </c>
      <c r="F1147" s="3">
        <v>1453723.2607799801</v>
      </c>
      <c r="G1147" s="1">
        <v>44985</v>
      </c>
      <c r="H1147" s="2">
        <v>44378</v>
      </c>
    </row>
    <row r="1148" spans="1:8" hidden="1" x14ac:dyDescent="0.45">
      <c r="A1148">
        <v>1146</v>
      </c>
      <c r="B1148" t="s">
        <v>7</v>
      </c>
      <c r="C1148" s="3">
        <v>1067111.12313879</v>
      </c>
      <c r="D1148" s="3">
        <v>700449.31</v>
      </c>
      <c r="E1148" s="3">
        <v>719917.59863609902</v>
      </c>
      <c r="F1148" s="3">
        <v>1439977.95621879</v>
      </c>
      <c r="G1148" s="1">
        <v>44985</v>
      </c>
      <c r="H1148" s="2">
        <v>44409</v>
      </c>
    </row>
    <row r="1149" spans="1:8" hidden="1" x14ac:dyDescent="0.45">
      <c r="A1149">
        <v>1147</v>
      </c>
      <c r="B1149" t="s">
        <v>7</v>
      </c>
      <c r="C1149" s="3">
        <v>1133475.0827669799</v>
      </c>
      <c r="D1149" s="3">
        <v>1784906.52</v>
      </c>
      <c r="E1149" s="3">
        <v>735127.64310775697</v>
      </c>
      <c r="F1149" s="3">
        <v>1539501.742445</v>
      </c>
      <c r="G1149" s="1">
        <v>44985</v>
      </c>
      <c r="H1149" s="2">
        <v>44440</v>
      </c>
    </row>
    <row r="1150" spans="1:8" hidden="1" x14ac:dyDescent="0.45">
      <c r="A1150">
        <v>1148</v>
      </c>
      <c r="B1150" t="s">
        <v>7</v>
      </c>
      <c r="C1150" s="3">
        <v>919867.17548971798</v>
      </c>
      <c r="D1150" s="3">
        <v>706422.77</v>
      </c>
      <c r="E1150" s="3">
        <v>579238.44783732702</v>
      </c>
      <c r="F1150" s="3">
        <v>1280014.53247556</v>
      </c>
      <c r="G1150" s="1">
        <v>44985</v>
      </c>
      <c r="H1150" s="2">
        <v>44470</v>
      </c>
    </row>
    <row r="1151" spans="1:8" hidden="1" x14ac:dyDescent="0.45">
      <c r="A1151">
        <v>1149</v>
      </c>
      <c r="B1151" t="s">
        <v>7</v>
      </c>
      <c r="C1151" s="3">
        <v>2203077.4303556699</v>
      </c>
      <c r="D1151" s="3">
        <v>3115611.92</v>
      </c>
      <c r="E1151" s="3">
        <v>1597996.07729209</v>
      </c>
      <c r="F1151" s="3">
        <v>2826876.86642749</v>
      </c>
      <c r="G1151" s="1">
        <v>44985</v>
      </c>
      <c r="H1151" s="2">
        <v>44501</v>
      </c>
    </row>
    <row r="1152" spans="1:8" hidden="1" x14ac:dyDescent="0.45">
      <c r="A1152">
        <v>1150</v>
      </c>
      <c r="B1152" t="s">
        <v>7</v>
      </c>
      <c r="C1152" s="3">
        <v>589317.28372878104</v>
      </c>
      <c r="D1152" s="3">
        <v>227049.91</v>
      </c>
      <c r="E1152" s="3">
        <v>321802.87451685802</v>
      </c>
      <c r="F1152" s="3">
        <v>884390.22804148903</v>
      </c>
      <c r="G1152" s="1">
        <v>44985</v>
      </c>
      <c r="H1152" s="2">
        <v>44531</v>
      </c>
    </row>
    <row r="1153" spans="1:8" hidden="1" x14ac:dyDescent="0.45">
      <c r="A1153">
        <v>1151</v>
      </c>
      <c r="B1153" t="s">
        <v>7</v>
      </c>
      <c r="C1153" s="3">
        <v>1239997.3366341901</v>
      </c>
      <c r="D1153" s="3">
        <v>1231496.1499999999</v>
      </c>
      <c r="E1153" s="3">
        <v>779227.33228916</v>
      </c>
      <c r="F1153" s="3">
        <v>1733217.3225678101</v>
      </c>
      <c r="G1153" s="1">
        <v>44985</v>
      </c>
      <c r="H1153" s="2">
        <v>44562</v>
      </c>
    </row>
    <row r="1154" spans="1:8" hidden="1" x14ac:dyDescent="0.45">
      <c r="A1154">
        <v>1152</v>
      </c>
      <c r="B1154" t="s">
        <v>7</v>
      </c>
      <c r="C1154" s="3">
        <v>969620.08112087694</v>
      </c>
      <c r="D1154" s="3">
        <v>1031231.86</v>
      </c>
      <c r="E1154" s="3">
        <v>594533.86515893205</v>
      </c>
      <c r="F1154" s="3">
        <v>1391353.66835543</v>
      </c>
      <c r="G1154" s="1">
        <v>44985</v>
      </c>
      <c r="H1154" s="2">
        <v>44593</v>
      </c>
    </row>
    <row r="1155" spans="1:8" hidden="1" x14ac:dyDescent="0.45">
      <c r="A1155">
        <v>1153</v>
      </c>
      <c r="B1155" t="s">
        <v>7</v>
      </c>
      <c r="C1155" s="3">
        <v>2410205.9382019602</v>
      </c>
      <c r="D1155" s="3">
        <v>2866780.02</v>
      </c>
      <c r="E1155" s="3">
        <v>1620116.8179182201</v>
      </c>
      <c r="F1155" s="3">
        <v>3224110.2788425102</v>
      </c>
      <c r="G1155" s="1">
        <v>44985</v>
      </c>
      <c r="H1155" s="2">
        <v>44621</v>
      </c>
    </row>
    <row r="1156" spans="1:8" hidden="1" x14ac:dyDescent="0.45">
      <c r="A1156">
        <v>1154</v>
      </c>
      <c r="B1156" t="s">
        <v>7</v>
      </c>
      <c r="C1156" s="3">
        <v>525390.67164733796</v>
      </c>
      <c r="D1156" s="3">
        <v>106305.83</v>
      </c>
      <c r="E1156" s="3">
        <v>226844.513613919</v>
      </c>
      <c r="F1156" s="3">
        <v>835980.29500697996</v>
      </c>
      <c r="G1156" s="1">
        <v>44985</v>
      </c>
      <c r="H1156" s="2">
        <v>44652</v>
      </c>
    </row>
    <row r="1157" spans="1:8" hidden="1" x14ac:dyDescent="0.45">
      <c r="A1157">
        <v>1155</v>
      </c>
      <c r="B1157" t="s">
        <v>7</v>
      </c>
      <c r="C1157" s="3">
        <v>812371.64725338796</v>
      </c>
      <c r="D1157" s="3">
        <v>667164.73</v>
      </c>
      <c r="E1157" s="3">
        <v>442501.87587455998</v>
      </c>
      <c r="F1157" s="3">
        <v>1210809.8954767699</v>
      </c>
      <c r="G1157" s="1">
        <v>44985</v>
      </c>
      <c r="H1157" s="2">
        <v>44682</v>
      </c>
    </row>
    <row r="1158" spans="1:8" hidden="1" x14ac:dyDescent="0.45">
      <c r="A1158">
        <v>1156</v>
      </c>
      <c r="B1158" t="s">
        <v>7</v>
      </c>
      <c r="C1158" s="3">
        <v>1348017.99085543</v>
      </c>
      <c r="D1158" s="3">
        <v>1398761.09</v>
      </c>
      <c r="E1158" s="3">
        <v>789052.77041841298</v>
      </c>
      <c r="F1158" s="3">
        <v>1919935.7773923001</v>
      </c>
      <c r="G1158" s="1">
        <v>44985</v>
      </c>
      <c r="H1158" s="2">
        <v>44713</v>
      </c>
    </row>
    <row r="1159" spans="1:8" hidden="1" x14ac:dyDescent="0.45">
      <c r="A1159">
        <v>1157</v>
      </c>
      <c r="B1159" t="s">
        <v>7</v>
      </c>
      <c r="C1159" s="3">
        <v>1437671.5062801901</v>
      </c>
      <c r="D1159" s="3">
        <v>931475.54</v>
      </c>
      <c r="E1159" s="3">
        <v>865773.32654108398</v>
      </c>
      <c r="F1159" s="3">
        <v>2043935.95085805</v>
      </c>
      <c r="G1159" s="1">
        <v>44985</v>
      </c>
      <c r="H1159" s="2">
        <v>44743</v>
      </c>
    </row>
    <row r="1160" spans="1:8" hidden="1" x14ac:dyDescent="0.45">
      <c r="A1160">
        <v>1158</v>
      </c>
      <c r="B1160" t="s">
        <v>7</v>
      </c>
      <c r="C1160" s="3">
        <v>1287691.5390168501</v>
      </c>
      <c r="D1160" s="3">
        <v>1335916.6499999999</v>
      </c>
      <c r="E1160" s="3">
        <v>794024.03177228395</v>
      </c>
      <c r="F1160" s="3">
        <v>1824141.35383938</v>
      </c>
      <c r="G1160" s="1">
        <v>44985</v>
      </c>
      <c r="H1160" s="2">
        <v>44774</v>
      </c>
    </row>
    <row r="1161" spans="1:8" hidden="1" x14ac:dyDescent="0.45">
      <c r="A1161">
        <v>1159</v>
      </c>
      <c r="B1161" t="s">
        <v>7</v>
      </c>
      <c r="C1161" s="3">
        <v>1170188.5050300299</v>
      </c>
      <c r="D1161" s="3">
        <v>976647.27</v>
      </c>
      <c r="E1161" s="3">
        <v>695317.72800358105</v>
      </c>
      <c r="F1161" s="3">
        <v>1682993.94130137</v>
      </c>
      <c r="G1161" s="1">
        <v>44985</v>
      </c>
      <c r="H1161" s="2">
        <v>44805</v>
      </c>
    </row>
    <row r="1162" spans="1:8" hidden="1" x14ac:dyDescent="0.45">
      <c r="A1162">
        <v>1160</v>
      </c>
      <c r="B1162" t="s">
        <v>7</v>
      </c>
      <c r="C1162" s="3">
        <v>965296.39837101998</v>
      </c>
      <c r="D1162" s="3">
        <v>975982.86</v>
      </c>
      <c r="E1162" s="3">
        <v>568295.25546247</v>
      </c>
      <c r="F1162" s="3">
        <v>1403594.9574152799</v>
      </c>
      <c r="G1162" s="1">
        <v>44985</v>
      </c>
      <c r="H1162" s="2">
        <v>44835</v>
      </c>
    </row>
    <row r="1163" spans="1:8" hidden="1" x14ac:dyDescent="0.45">
      <c r="A1163">
        <v>1161</v>
      </c>
      <c r="B1163" t="s">
        <v>7</v>
      </c>
      <c r="C1163" s="3">
        <v>2262637.36630509</v>
      </c>
      <c r="D1163" s="3">
        <v>2010415.16</v>
      </c>
      <c r="E1163" s="3">
        <v>1504313.45759315</v>
      </c>
      <c r="F1163" s="3">
        <v>3047764.44039367</v>
      </c>
      <c r="G1163" s="1">
        <v>44985</v>
      </c>
      <c r="H1163" s="2">
        <v>44866</v>
      </c>
    </row>
    <row r="1164" spans="1:8" hidden="1" x14ac:dyDescent="0.45">
      <c r="A1164">
        <v>1162</v>
      </c>
      <c r="B1164" t="s">
        <v>7</v>
      </c>
      <c r="C1164" s="3">
        <v>529484.23130882205</v>
      </c>
      <c r="D1164" s="3">
        <v>348929.42</v>
      </c>
      <c r="E1164" s="3">
        <v>273928.91170173802</v>
      </c>
      <c r="F1164" s="3">
        <v>815231.05308379699</v>
      </c>
      <c r="G1164" s="1">
        <v>44985</v>
      </c>
      <c r="H1164" s="2">
        <v>44896</v>
      </c>
    </row>
    <row r="1165" spans="1:8" hidden="1" x14ac:dyDescent="0.45">
      <c r="A1165">
        <v>1163</v>
      </c>
      <c r="B1165" t="s">
        <v>7</v>
      </c>
      <c r="C1165" s="3">
        <v>1113965.5929342499</v>
      </c>
      <c r="D1165" s="3">
        <v>1096298.6399999999</v>
      </c>
      <c r="E1165" s="3">
        <v>667135.84662289103</v>
      </c>
      <c r="F1165" s="3">
        <v>1587827.7396638901</v>
      </c>
      <c r="G1165" s="1">
        <v>44985</v>
      </c>
      <c r="H1165" s="2">
        <v>44927</v>
      </c>
    </row>
    <row r="1166" spans="1:8" hidden="1" x14ac:dyDescent="0.45">
      <c r="A1166">
        <v>1164</v>
      </c>
      <c r="B1166" t="s">
        <v>7</v>
      </c>
      <c r="C1166" s="3">
        <v>860640.77892620605</v>
      </c>
      <c r="D1166" s="3">
        <v>1036928.47</v>
      </c>
      <c r="E1166" s="3">
        <v>493809.403811144</v>
      </c>
      <c r="F1166" s="3">
        <v>1257492.73831507</v>
      </c>
      <c r="G1166" s="1">
        <v>44985</v>
      </c>
      <c r="H1166" s="2">
        <v>44958</v>
      </c>
    </row>
    <row r="1167" spans="1:8" hidden="1" x14ac:dyDescent="0.45">
      <c r="A1167">
        <v>1165</v>
      </c>
      <c r="B1167" t="s">
        <v>8</v>
      </c>
      <c r="C1167" s="3">
        <v>2158779.8820634</v>
      </c>
      <c r="D1167" s="3">
        <v>616337.59</v>
      </c>
      <c r="E1167" s="3">
        <v>1254572.98933656</v>
      </c>
      <c r="F1167" s="3">
        <v>3151210.9990559998</v>
      </c>
      <c r="G1167" s="1">
        <v>44985</v>
      </c>
      <c r="H1167" s="2">
        <v>44986</v>
      </c>
    </row>
    <row r="1168" spans="1:8" hidden="1" x14ac:dyDescent="0.45">
      <c r="A1168">
        <v>1166</v>
      </c>
      <c r="B1168" t="s">
        <v>8</v>
      </c>
      <c r="C1168" s="3">
        <v>421477.640342028</v>
      </c>
      <c r="D1168" s="3">
        <v>1016781.51</v>
      </c>
      <c r="E1168" s="3">
        <v>165621.76099791299</v>
      </c>
      <c r="F1168" s="3">
        <v>703729.89982647495</v>
      </c>
      <c r="G1168" s="1">
        <v>44985</v>
      </c>
      <c r="H1168" s="2">
        <v>45017</v>
      </c>
    </row>
    <row r="1169" spans="1:8" hidden="1" x14ac:dyDescent="0.45">
      <c r="A1169">
        <v>1167</v>
      </c>
      <c r="B1169" t="s">
        <v>8</v>
      </c>
      <c r="C1169" s="3">
        <v>665194.99683905602</v>
      </c>
      <c r="D1169" s="3">
        <v>1084643.94</v>
      </c>
      <c r="E1169" s="3">
        <v>323123.493167029</v>
      </c>
      <c r="F1169" s="3">
        <v>1030743.9442422</v>
      </c>
      <c r="G1169" s="1">
        <v>44985</v>
      </c>
      <c r="H1169" s="2">
        <v>45047</v>
      </c>
    </row>
    <row r="1170" spans="1:8" hidden="1" x14ac:dyDescent="0.45">
      <c r="A1170">
        <v>1168</v>
      </c>
      <c r="B1170" t="s">
        <v>8</v>
      </c>
      <c r="C1170" s="3">
        <v>1114436.2052353499</v>
      </c>
      <c r="D1170" s="3">
        <v>916718.98</v>
      </c>
      <c r="E1170" s="3">
        <v>604710.69018180401</v>
      </c>
      <c r="F1170" s="3">
        <v>1685857.2591268399</v>
      </c>
      <c r="G1170" s="1">
        <v>44985</v>
      </c>
      <c r="H1170" s="2">
        <v>45078</v>
      </c>
    </row>
    <row r="1171" spans="1:8" hidden="1" x14ac:dyDescent="0.45">
      <c r="A1171">
        <v>1169</v>
      </c>
      <c r="B1171" t="s">
        <v>8</v>
      </c>
      <c r="C1171" s="3">
        <v>1144435.59346583</v>
      </c>
      <c r="D1171" s="3">
        <v>922055.6</v>
      </c>
      <c r="E1171" s="3">
        <v>627658.23512293096</v>
      </c>
      <c r="F1171" s="3">
        <v>1701516.9189317899</v>
      </c>
      <c r="G1171" s="1">
        <v>44985</v>
      </c>
      <c r="H1171" s="2">
        <v>45108</v>
      </c>
    </row>
    <row r="1172" spans="1:8" hidden="1" x14ac:dyDescent="0.45">
      <c r="A1172">
        <v>1170</v>
      </c>
      <c r="B1172" t="s">
        <v>8</v>
      </c>
      <c r="C1172" s="3">
        <v>1096220.2731313601</v>
      </c>
      <c r="D1172" s="3">
        <v>953767.53</v>
      </c>
      <c r="E1172" s="3">
        <v>610481.15554718301</v>
      </c>
      <c r="F1172" s="3">
        <v>1652644.4347189099</v>
      </c>
      <c r="G1172" s="1">
        <v>44985</v>
      </c>
      <c r="H1172" s="2">
        <v>45139</v>
      </c>
    </row>
    <row r="1173" spans="1:8" hidden="1" x14ac:dyDescent="0.45">
      <c r="A1173">
        <v>1171</v>
      </c>
      <c r="B1173" t="s">
        <v>8</v>
      </c>
      <c r="C1173" s="3">
        <v>961056.89912679198</v>
      </c>
      <c r="D1173" s="3">
        <v>1044827.4</v>
      </c>
      <c r="E1173" s="3">
        <v>525686.70040304505</v>
      </c>
      <c r="F1173" s="3">
        <v>1437204.40561161</v>
      </c>
      <c r="G1173" s="1">
        <v>44985</v>
      </c>
      <c r="H1173" s="2">
        <v>45170</v>
      </c>
    </row>
    <row r="1174" spans="1:8" hidden="1" x14ac:dyDescent="0.45">
      <c r="A1174">
        <v>1172</v>
      </c>
      <c r="B1174" t="s">
        <v>8</v>
      </c>
      <c r="C1174" s="3">
        <v>813079.17975938099</v>
      </c>
      <c r="D1174" s="3">
        <v>922180.26</v>
      </c>
      <c r="E1174" s="3">
        <v>439640.51572999399</v>
      </c>
      <c r="F1174" s="3">
        <v>1227946.40783605</v>
      </c>
      <c r="G1174" s="1">
        <v>44985</v>
      </c>
      <c r="H1174" s="2">
        <v>45200</v>
      </c>
    </row>
    <row r="1175" spans="1:8" hidden="1" x14ac:dyDescent="0.45">
      <c r="A1175">
        <v>1173</v>
      </c>
      <c r="B1175" t="s">
        <v>8</v>
      </c>
      <c r="C1175" s="3">
        <v>1820032.64235328</v>
      </c>
      <c r="D1175" s="3">
        <v>1564949.24</v>
      </c>
      <c r="E1175" s="3">
        <v>1114817.54931108</v>
      </c>
      <c r="F1175" s="3">
        <v>2577757.41259189</v>
      </c>
      <c r="G1175" s="1">
        <v>44985</v>
      </c>
      <c r="H1175" s="2">
        <v>45231</v>
      </c>
    </row>
    <row r="1176" spans="1:8" hidden="1" x14ac:dyDescent="0.45">
      <c r="A1176">
        <v>1174</v>
      </c>
      <c r="B1176" t="s">
        <v>8</v>
      </c>
      <c r="C1176" s="3">
        <v>422782.349524269</v>
      </c>
      <c r="D1176" s="3">
        <v>667701.30999999901</v>
      </c>
      <c r="E1176" s="3">
        <v>213362.284959196</v>
      </c>
      <c r="F1176" s="3">
        <v>672032.23123121704</v>
      </c>
      <c r="G1176" s="1">
        <v>44985</v>
      </c>
      <c r="H1176" s="2">
        <v>45261</v>
      </c>
    </row>
    <row r="1177" spans="1:8" hidden="1" x14ac:dyDescent="0.45">
      <c r="A1177">
        <v>1175</v>
      </c>
      <c r="B1177" t="s">
        <v>8</v>
      </c>
      <c r="C1177" s="3">
        <v>893189.18793501297</v>
      </c>
      <c r="D1177" s="3">
        <v>1035718.22</v>
      </c>
      <c r="E1177" s="3">
        <v>509392.79453441303</v>
      </c>
      <c r="F1177" s="3">
        <v>1308226.08812835</v>
      </c>
      <c r="G1177" s="1">
        <v>44985</v>
      </c>
      <c r="H1177" s="2">
        <v>45292</v>
      </c>
    </row>
    <row r="1178" spans="1:8" hidden="1" x14ac:dyDescent="0.45">
      <c r="A1178">
        <v>1176</v>
      </c>
      <c r="B1178" t="s">
        <v>8</v>
      </c>
      <c r="C1178" s="3">
        <v>681333.216596768</v>
      </c>
      <c r="D1178" s="3">
        <v>693797.01</v>
      </c>
      <c r="E1178" s="3">
        <v>370738.55850146897</v>
      </c>
      <c r="F1178" s="3">
        <v>1018361.14789418</v>
      </c>
      <c r="G1178" s="1">
        <v>44985</v>
      </c>
      <c r="H1178" s="2">
        <v>45323</v>
      </c>
    </row>
    <row r="1179" spans="1:8" hidden="1" x14ac:dyDescent="0.45">
      <c r="A1179">
        <v>1177</v>
      </c>
      <c r="B1179" t="s">
        <v>8</v>
      </c>
      <c r="C1179" s="3">
        <v>1718533.9831536501</v>
      </c>
      <c r="D1179" s="3">
        <v>697226.53</v>
      </c>
      <c r="E1179" s="3">
        <v>956743.099508735</v>
      </c>
      <c r="F1179" s="3">
        <v>2586630.2812052602</v>
      </c>
      <c r="G1179" s="1">
        <v>44985</v>
      </c>
      <c r="H1179" s="2">
        <v>45352</v>
      </c>
    </row>
    <row r="1180" spans="1:8" hidden="1" x14ac:dyDescent="0.45">
      <c r="A1180">
        <v>1178</v>
      </c>
      <c r="B1180" t="s">
        <v>8</v>
      </c>
      <c r="C1180" s="3">
        <v>348917.30127289402</v>
      </c>
      <c r="D1180" s="3">
        <v>1081062.23</v>
      </c>
      <c r="E1180" s="3">
        <v>131085.79202367101</v>
      </c>
      <c r="F1180" s="3">
        <v>595669.94498374697</v>
      </c>
      <c r="G1180" s="1">
        <v>44985</v>
      </c>
      <c r="H1180" s="2">
        <v>45383</v>
      </c>
    </row>
    <row r="1181" spans="1:8" hidden="1" x14ac:dyDescent="0.45">
      <c r="A1181">
        <v>1179</v>
      </c>
      <c r="B1181" t="s">
        <v>8</v>
      </c>
      <c r="C1181" s="3">
        <v>554870.52506913303</v>
      </c>
      <c r="D1181" s="3">
        <v>578377.21</v>
      </c>
      <c r="E1181" s="3">
        <v>266775.228768826</v>
      </c>
      <c r="F1181" s="3">
        <v>880685.71301916603</v>
      </c>
      <c r="G1181" s="1">
        <v>44985</v>
      </c>
      <c r="H1181" s="2">
        <v>45413</v>
      </c>
    </row>
    <row r="1182" spans="1:8" hidden="1" x14ac:dyDescent="0.45">
      <c r="A1182">
        <v>1180</v>
      </c>
      <c r="B1182" t="s">
        <v>8</v>
      </c>
      <c r="C1182" s="3">
        <v>944678.61502238503</v>
      </c>
      <c r="D1182" s="3">
        <v>608830.59</v>
      </c>
      <c r="E1182" s="3">
        <v>493720.84330416302</v>
      </c>
      <c r="F1182" s="3">
        <v>1463782.6196713999</v>
      </c>
      <c r="G1182" s="1">
        <v>44985</v>
      </c>
      <c r="H1182" s="2">
        <v>45444</v>
      </c>
    </row>
    <row r="1183" spans="1:8" hidden="1" x14ac:dyDescent="0.45">
      <c r="A1183">
        <v>1181</v>
      </c>
      <c r="B1183" t="s">
        <v>8</v>
      </c>
      <c r="C1183" s="3">
        <v>964978.91103404597</v>
      </c>
      <c r="D1183" s="3">
        <v>667414.97</v>
      </c>
      <c r="E1183" s="3">
        <v>514323.80008448497</v>
      </c>
      <c r="F1183" s="3">
        <v>1446748.63825732</v>
      </c>
      <c r="G1183" s="1">
        <v>44985</v>
      </c>
      <c r="H1183" s="2">
        <v>45474</v>
      </c>
    </row>
    <row r="1184" spans="1:8" hidden="1" x14ac:dyDescent="0.45">
      <c r="A1184">
        <v>1182</v>
      </c>
      <c r="B1184" t="s">
        <v>8</v>
      </c>
      <c r="C1184" s="3">
        <v>934220.46998695401</v>
      </c>
      <c r="D1184" s="3">
        <v>629709.79</v>
      </c>
      <c r="E1184" s="3">
        <v>508765.28173627198</v>
      </c>
      <c r="F1184" s="3">
        <v>1422887.3220967101</v>
      </c>
      <c r="G1184" s="1">
        <v>44985</v>
      </c>
      <c r="H1184" s="2">
        <v>45505</v>
      </c>
    </row>
    <row r="1185" spans="1:8" hidden="1" x14ac:dyDescent="0.45">
      <c r="A1185">
        <v>1183</v>
      </c>
      <c r="B1185" t="s">
        <v>8</v>
      </c>
      <c r="C1185" s="3">
        <v>820762.921780893</v>
      </c>
      <c r="D1185" s="3">
        <v>1148231.8199999901</v>
      </c>
      <c r="E1185" s="3">
        <v>447165.93702523899</v>
      </c>
      <c r="F1185" s="3">
        <v>1233095.1078562899</v>
      </c>
      <c r="G1185" s="1">
        <v>44985</v>
      </c>
      <c r="H1185" s="2">
        <v>45536</v>
      </c>
    </row>
    <row r="1186" spans="1:8" hidden="1" x14ac:dyDescent="0.45">
      <c r="A1186">
        <v>1184</v>
      </c>
      <c r="B1186" t="s">
        <v>8</v>
      </c>
      <c r="C1186" s="3">
        <v>697969.86906975601</v>
      </c>
      <c r="D1186" s="3">
        <v>450762.06</v>
      </c>
      <c r="E1186" s="3">
        <v>371801.19569256</v>
      </c>
      <c r="F1186" s="3">
        <v>1064370.4815743701</v>
      </c>
      <c r="G1186" s="1">
        <v>44985</v>
      </c>
      <c r="H1186" s="2">
        <v>45566</v>
      </c>
    </row>
    <row r="1187" spans="1:8" hidden="1" x14ac:dyDescent="0.45">
      <c r="A1187">
        <v>1185</v>
      </c>
      <c r="B1187" t="s">
        <v>8</v>
      </c>
      <c r="C1187" s="3">
        <v>1554791.8907443599</v>
      </c>
      <c r="D1187" s="3"/>
      <c r="E1187" s="3">
        <v>944551.629681875</v>
      </c>
      <c r="F1187" s="3">
        <v>2217122.4557659598</v>
      </c>
      <c r="G1187" s="1">
        <v>44985</v>
      </c>
      <c r="H1187" s="2">
        <v>45597</v>
      </c>
    </row>
    <row r="1188" spans="1:8" hidden="1" x14ac:dyDescent="0.45">
      <c r="A1188">
        <v>1186</v>
      </c>
      <c r="B1188" t="s">
        <v>8</v>
      </c>
      <c r="C1188" s="3">
        <v>364824.24724264297</v>
      </c>
      <c r="D1188" s="3"/>
      <c r="E1188" s="3">
        <v>184665.774837006</v>
      </c>
      <c r="F1188" s="3">
        <v>582180.64808373596</v>
      </c>
      <c r="G1188" s="1">
        <v>44985</v>
      </c>
      <c r="H1188" s="2">
        <v>45627</v>
      </c>
    </row>
    <row r="1189" spans="1:8" hidden="1" x14ac:dyDescent="0.45">
      <c r="A1189">
        <v>1187</v>
      </c>
      <c r="B1189" t="s">
        <v>8</v>
      </c>
      <c r="C1189" s="3">
        <v>770343.62487418205</v>
      </c>
      <c r="D1189" s="3"/>
      <c r="E1189" s="3">
        <v>446979.08916003699</v>
      </c>
      <c r="F1189" s="3">
        <v>1141574.2330129</v>
      </c>
      <c r="G1189" s="1">
        <v>44985</v>
      </c>
      <c r="H1189" s="2">
        <v>45658</v>
      </c>
    </row>
    <row r="1190" spans="1:8" hidden="1" x14ac:dyDescent="0.45">
      <c r="A1190">
        <v>1188</v>
      </c>
      <c r="B1190" t="s">
        <v>8</v>
      </c>
      <c r="C1190" s="3">
        <v>588613.76963396894</v>
      </c>
      <c r="D1190" s="3"/>
      <c r="E1190" s="3">
        <v>318874.72434253001</v>
      </c>
      <c r="F1190" s="3">
        <v>881273.230750905</v>
      </c>
      <c r="G1190" s="1">
        <v>44985</v>
      </c>
      <c r="H1190" s="2">
        <v>45689</v>
      </c>
    </row>
    <row r="1191" spans="1:8" hidden="1" x14ac:dyDescent="0.45">
      <c r="A1191">
        <v>1189</v>
      </c>
      <c r="B1191" t="s">
        <v>8</v>
      </c>
      <c r="C1191" s="3">
        <v>1478144.8312083599</v>
      </c>
      <c r="D1191" s="3"/>
      <c r="E1191" s="3">
        <v>814269.64217130095</v>
      </c>
      <c r="F1191" s="3">
        <v>2219255.0062316102</v>
      </c>
      <c r="G1191" s="1">
        <v>44985</v>
      </c>
      <c r="H1191" s="2">
        <v>45717</v>
      </c>
    </row>
    <row r="1192" spans="1:8" hidden="1" x14ac:dyDescent="0.45">
      <c r="A1192">
        <v>1190</v>
      </c>
      <c r="B1192" t="s">
        <v>8</v>
      </c>
      <c r="C1192" s="3">
        <v>302335.711288872</v>
      </c>
      <c r="D1192" s="3"/>
      <c r="E1192" s="3">
        <v>113431.47087682399</v>
      </c>
      <c r="F1192" s="3">
        <v>514222.61680217303</v>
      </c>
      <c r="G1192" s="1">
        <v>44985</v>
      </c>
      <c r="H1192" s="2">
        <v>45748</v>
      </c>
    </row>
    <row r="1193" spans="1:8" hidden="1" x14ac:dyDescent="0.45">
      <c r="A1193">
        <v>1191</v>
      </c>
      <c r="B1193" t="s">
        <v>8</v>
      </c>
      <c r="C1193" s="3">
        <v>481041.49250398099</v>
      </c>
      <c r="D1193" s="3"/>
      <c r="E1193" s="3">
        <v>228325.97334614801</v>
      </c>
      <c r="F1193" s="3">
        <v>757876.79065872403</v>
      </c>
      <c r="G1193" s="1">
        <v>44985</v>
      </c>
      <c r="H1193" s="2">
        <v>45778</v>
      </c>
    </row>
    <row r="1194" spans="1:8" hidden="1" x14ac:dyDescent="0.45">
      <c r="A1194">
        <v>1192</v>
      </c>
      <c r="B1194" t="s">
        <v>8</v>
      </c>
      <c r="C1194" s="3">
        <v>822885.04812846298</v>
      </c>
      <c r="D1194" s="3"/>
      <c r="E1194" s="3">
        <v>420315.89270934201</v>
      </c>
      <c r="F1194" s="3">
        <v>1260136.66851396</v>
      </c>
      <c r="G1194" s="1">
        <v>44985</v>
      </c>
      <c r="H1194" s="2">
        <v>45809</v>
      </c>
    </row>
    <row r="1195" spans="1:8" hidden="1" x14ac:dyDescent="0.45">
      <c r="A1195">
        <v>1193</v>
      </c>
      <c r="B1195" t="s">
        <v>8</v>
      </c>
      <c r="C1195" s="3">
        <v>840409.81751035701</v>
      </c>
      <c r="D1195" s="3"/>
      <c r="E1195" s="3">
        <v>450415.21772431501</v>
      </c>
      <c r="F1195" s="3">
        <v>1255675.2434181301</v>
      </c>
      <c r="G1195" s="1">
        <v>44985</v>
      </c>
      <c r="H1195" s="2">
        <v>45839</v>
      </c>
    </row>
    <row r="1196" spans="1:8" hidden="1" x14ac:dyDescent="0.45">
      <c r="A1196">
        <v>1194</v>
      </c>
      <c r="B1196" t="s">
        <v>8</v>
      </c>
      <c r="C1196" s="3">
        <v>811019.51559457195</v>
      </c>
      <c r="D1196" s="3"/>
      <c r="E1196" s="3">
        <v>448016.31725924503</v>
      </c>
      <c r="F1196" s="3">
        <v>1238495.49372066</v>
      </c>
      <c r="G1196" s="1">
        <v>44985</v>
      </c>
      <c r="H1196" s="2">
        <v>45870</v>
      </c>
    </row>
    <row r="1197" spans="1:8" hidden="1" x14ac:dyDescent="0.45">
      <c r="A1197">
        <v>1195</v>
      </c>
      <c r="B1197" t="s">
        <v>8</v>
      </c>
      <c r="C1197" s="3">
        <v>715287.28330993501</v>
      </c>
      <c r="D1197" s="3"/>
      <c r="E1197" s="3">
        <v>388043.31137787702</v>
      </c>
      <c r="F1197" s="3">
        <v>1072661.0423446801</v>
      </c>
      <c r="G1197" s="1">
        <v>44985</v>
      </c>
      <c r="H1197" s="2">
        <v>45901</v>
      </c>
    </row>
    <row r="1198" spans="1:8" hidden="1" x14ac:dyDescent="0.45">
      <c r="A1198">
        <v>1196</v>
      </c>
      <c r="B1198" t="s">
        <v>8</v>
      </c>
      <c r="C1198" s="3">
        <v>605382.43560508895</v>
      </c>
      <c r="D1198" s="3"/>
      <c r="E1198" s="3">
        <v>319077.01996343699</v>
      </c>
      <c r="F1198" s="3">
        <v>917643.245750634</v>
      </c>
      <c r="G1198" s="1">
        <v>44985</v>
      </c>
      <c r="H1198" s="2">
        <v>45931</v>
      </c>
    </row>
    <row r="1199" spans="1:8" hidden="1" x14ac:dyDescent="0.45">
      <c r="A1199">
        <v>1197</v>
      </c>
      <c r="B1199" t="s">
        <v>7</v>
      </c>
      <c r="C1199" s="3">
        <v>153874.63789459199</v>
      </c>
      <c r="D1199" s="3">
        <v>28250.62</v>
      </c>
      <c r="E1199" s="3">
        <v>88820.951301138004</v>
      </c>
      <c r="F1199" s="3">
        <v>220309.55508245801</v>
      </c>
      <c r="G1199" s="1">
        <v>45016</v>
      </c>
      <c r="H1199" s="2">
        <v>44228</v>
      </c>
    </row>
    <row r="1200" spans="1:8" hidden="1" x14ac:dyDescent="0.45">
      <c r="A1200">
        <v>1198</v>
      </c>
      <c r="B1200" t="s">
        <v>7</v>
      </c>
      <c r="C1200" s="3">
        <v>336838.84158554999</v>
      </c>
      <c r="D1200" s="3">
        <v>36247.919999999998</v>
      </c>
      <c r="E1200" s="3">
        <v>209445.42825439601</v>
      </c>
      <c r="F1200" s="3">
        <v>461385.09455792699</v>
      </c>
      <c r="G1200" s="1">
        <v>45016</v>
      </c>
      <c r="H1200" s="2">
        <v>44256</v>
      </c>
    </row>
    <row r="1201" spans="1:8" hidden="1" x14ac:dyDescent="0.45">
      <c r="A1201">
        <v>1199</v>
      </c>
      <c r="B1201" t="s">
        <v>7</v>
      </c>
      <c r="C1201" s="3">
        <v>118785.446278652</v>
      </c>
      <c r="D1201" s="3">
        <v>14721.48</v>
      </c>
      <c r="E1201" s="3">
        <v>57323.073572851303</v>
      </c>
      <c r="F1201" s="3">
        <v>194795.20870756399</v>
      </c>
      <c r="G1201" s="1">
        <v>45016</v>
      </c>
      <c r="H1201" s="2">
        <v>44287</v>
      </c>
    </row>
    <row r="1202" spans="1:8" hidden="1" x14ac:dyDescent="0.45">
      <c r="A1202">
        <v>1200</v>
      </c>
      <c r="B1202" t="s">
        <v>7</v>
      </c>
      <c r="C1202" s="3">
        <v>199070.872752044</v>
      </c>
      <c r="D1202" s="3">
        <v>94346.71</v>
      </c>
      <c r="E1202" s="3">
        <v>103007.540774722</v>
      </c>
      <c r="F1202" s="3">
        <v>300807.85464220803</v>
      </c>
      <c r="G1202" s="1">
        <v>45016</v>
      </c>
      <c r="H1202" s="2">
        <v>44317</v>
      </c>
    </row>
    <row r="1203" spans="1:8" hidden="1" x14ac:dyDescent="0.45">
      <c r="A1203">
        <v>1201</v>
      </c>
      <c r="B1203" t="s">
        <v>7</v>
      </c>
      <c r="C1203" s="3">
        <v>516720.32260782202</v>
      </c>
      <c r="D1203" s="3">
        <v>970740.72</v>
      </c>
      <c r="E1203" s="3">
        <v>315702.76682728902</v>
      </c>
      <c r="F1203" s="3">
        <v>721751.068030325</v>
      </c>
      <c r="G1203" s="1">
        <v>45016</v>
      </c>
      <c r="H1203" s="2">
        <v>44348</v>
      </c>
    </row>
    <row r="1204" spans="1:8" hidden="1" x14ac:dyDescent="0.45">
      <c r="A1204">
        <v>1202</v>
      </c>
      <c r="B1204" t="s">
        <v>7</v>
      </c>
      <c r="C1204" s="3">
        <v>1121605.4640864399</v>
      </c>
      <c r="D1204" s="3">
        <v>1798271.24</v>
      </c>
      <c r="E1204" s="3">
        <v>748072.00951041898</v>
      </c>
      <c r="F1204" s="3">
        <v>1510148.56004204</v>
      </c>
      <c r="G1204" s="1">
        <v>45016</v>
      </c>
      <c r="H1204" s="2">
        <v>44378</v>
      </c>
    </row>
    <row r="1205" spans="1:8" hidden="1" x14ac:dyDescent="0.45">
      <c r="A1205">
        <v>1203</v>
      </c>
      <c r="B1205" t="s">
        <v>7</v>
      </c>
      <c r="C1205" s="3">
        <v>1106841.0783611201</v>
      </c>
      <c r="D1205" s="3">
        <v>700449.31</v>
      </c>
      <c r="E1205" s="3">
        <v>687494.39207009098</v>
      </c>
      <c r="F1205" s="3">
        <v>1521055.1671008</v>
      </c>
      <c r="G1205" s="1">
        <v>45016</v>
      </c>
      <c r="H1205" s="2">
        <v>44409</v>
      </c>
    </row>
    <row r="1206" spans="1:8" hidden="1" x14ac:dyDescent="0.45">
      <c r="A1206">
        <v>1204</v>
      </c>
      <c r="B1206" t="s">
        <v>7</v>
      </c>
      <c r="C1206" s="3">
        <v>1197984.84714398</v>
      </c>
      <c r="D1206" s="3">
        <v>1784906.52</v>
      </c>
      <c r="E1206" s="3">
        <v>785589.84989218996</v>
      </c>
      <c r="F1206" s="3">
        <v>1665932.6330583601</v>
      </c>
      <c r="G1206" s="1">
        <v>45016</v>
      </c>
      <c r="H1206" s="2">
        <v>44440</v>
      </c>
    </row>
    <row r="1207" spans="1:8" hidden="1" x14ac:dyDescent="0.45">
      <c r="A1207">
        <v>1205</v>
      </c>
      <c r="B1207" t="s">
        <v>7</v>
      </c>
      <c r="C1207" s="3">
        <v>988540.03404740302</v>
      </c>
      <c r="D1207" s="3">
        <v>706422.77</v>
      </c>
      <c r="E1207" s="3">
        <v>608973.56314180302</v>
      </c>
      <c r="F1207" s="3">
        <v>1404500.0552765599</v>
      </c>
      <c r="G1207" s="1">
        <v>45016</v>
      </c>
      <c r="H1207" s="2">
        <v>44470</v>
      </c>
    </row>
    <row r="1208" spans="1:8" hidden="1" x14ac:dyDescent="0.45">
      <c r="A1208">
        <v>1206</v>
      </c>
      <c r="B1208" t="s">
        <v>7</v>
      </c>
      <c r="C1208" s="3">
        <v>2322810.2451750799</v>
      </c>
      <c r="D1208" s="3">
        <v>3115611.92</v>
      </c>
      <c r="E1208" s="3">
        <v>1641871.23179012</v>
      </c>
      <c r="F1208" s="3">
        <v>3003267.5034048702</v>
      </c>
      <c r="G1208" s="1">
        <v>45016</v>
      </c>
      <c r="H1208" s="2">
        <v>44501</v>
      </c>
    </row>
    <row r="1209" spans="1:8" hidden="1" x14ac:dyDescent="0.45">
      <c r="A1209">
        <v>1207</v>
      </c>
      <c r="B1209" t="s">
        <v>7</v>
      </c>
      <c r="C1209" s="3">
        <v>651858.65344951104</v>
      </c>
      <c r="D1209" s="3">
        <v>227049.91</v>
      </c>
      <c r="E1209" s="3">
        <v>340373.98067447799</v>
      </c>
      <c r="F1209" s="3">
        <v>1008237.56576163</v>
      </c>
      <c r="G1209" s="1">
        <v>45016</v>
      </c>
      <c r="H1209" s="2">
        <v>44531</v>
      </c>
    </row>
    <row r="1210" spans="1:8" hidden="1" x14ac:dyDescent="0.45">
      <c r="A1210">
        <v>1208</v>
      </c>
      <c r="B1210" t="s">
        <v>7</v>
      </c>
      <c r="C1210" s="3">
        <v>1307254.37240878</v>
      </c>
      <c r="D1210" s="3">
        <v>1231496.1499999999</v>
      </c>
      <c r="E1210" s="3">
        <v>804984.81586575299</v>
      </c>
      <c r="F1210" s="3">
        <v>1893486.82184807</v>
      </c>
      <c r="G1210" s="1">
        <v>45016</v>
      </c>
      <c r="H1210" s="2">
        <v>44562</v>
      </c>
    </row>
    <row r="1211" spans="1:8" hidden="1" x14ac:dyDescent="0.45">
      <c r="A1211">
        <v>1209</v>
      </c>
      <c r="B1211" t="s">
        <v>7</v>
      </c>
      <c r="C1211" s="3">
        <v>1025120.97311964</v>
      </c>
      <c r="D1211" s="3">
        <v>1031231.86</v>
      </c>
      <c r="E1211" s="3">
        <v>591176.37708494405</v>
      </c>
      <c r="F1211" s="3">
        <v>1506465.48894236</v>
      </c>
      <c r="G1211" s="1">
        <v>45016</v>
      </c>
      <c r="H1211" s="2">
        <v>44593</v>
      </c>
    </row>
    <row r="1212" spans="1:8" hidden="1" x14ac:dyDescent="0.45">
      <c r="A1212">
        <v>1210</v>
      </c>
      <c r="B1212" t="s">
        <v>7</v>
      </c>
      <c r="C1212" s="3">
        <v>1867983.16640876</v>
      </c>
      <c r="D1212" s="3">
        <v>2866780.02</v>
      </c>
      <c r="E1212" s="3">
        <v>1214633.49259345</v>
      </c>
      <c r="F1212" s="3">
        <v>2554342.1861358699</v>
      </c>
      <c r="G1212" s="1">
        <v>45016</v>
      </c>
      <c r="H1212" s="2">
        <v>44621</v>
      </c>
    </row>
    <row r="1213" spans="1:8" hidden="1" x14ac:dyDescent="0.45">
      <c r="A1213">
        <v>1211</v>
      </c>
      <c r="B1213" t="s">
        <v>7</v>
      </c>
      <c r="C1213" s="3">
        <v>567736.20806313003</v>
      </c>
      <c r="D1213" s="3">
        <v>106305.83</v>
      </c>
      <c r="E1213" s="3">
        <v>255476.185887409</v>
      </c>
      <c r="F1213" s="3">
        <v>921157.36751204403</v>
      </c>
      <c r="G1213" s="1">
        <v>45016</v>
      </c>
      <c r="H1213" s="2">
        <v>44652</v>
      </c>
    </row>
    <row r="1214" spans="1:8" hidden="1" x14ac:dyDescent="0.45">
      <c r="A1214">
        <v>1212</v>
      </c>
      <c r="B1214" t="s">
        <v>7</v>
      </c>
      <c r="C1214" s="3">
        <v>829032.85924998403</v>
      </c>
      <c r="D1214" s="3">
        <v>667164.73</v>
      </c>
      <c r="E1214" s="3">
        <v>415222.75133907702</v>
      </c>
      <c r="F1214" s="3">
        <v>1266341.6700005201</v>
      </c>
      <c r="G1214" s="1">
        <v>45016</v>
      </c>
      <c r="H1214" s="2">
        <v>44682</v>
      </c>
    </row>
    <row r="1215" spans="1:8" hidden="1" x14ac:dyDescent="0.45">
      <c r="A1215">
        <v>1213</v>
      </c>
      <c r="B1215" t="s">
        <v>7</v>
      </c>
      <c r="C1215" s="3">
        <v>1338533.4611867799</v>
      </c>
      <c r="D1215" s="3">
        <v>1398761.09</v>
      </c>
      <c r="E1215" s="3">
        <v>776950.63263324404</v>
      </c>
      <c r="F1215" s="3">
        <v>1968790.5197247299</v>
      </c>
      <c r="G1215" s="1">
        <v>45016</v>
      </c>
      <c r="H1215" s="2">
        <v>44713</v>
      </c>
    </row>
    <row r="1216" spans="1:8" hidden="1" x14ac:dyDescent="0.45">
      <c r="A1216">
        <v>1214</v>
      </c>
      <c r="B1216" t="s">
        <v>7</v>
      </c>
      <c r="C1216" s="3">
        <v>1363070.06192533</v>
      </c>
      <c r="D1216" s="3">
        <v>931475.54</v>
      </c>
      <c r="E1216" s="3">
        <v>772930.51303897798</v>
      </c>
      <c r="F1216" s="3">
        <v>1989134.7147681201</v>
      </c>
      <c r="G1216" s="1">
        <v>45016</v>
      </c>
      <c r="H1216" s="2">
        <v>44743</v>
      </c>
    </row>
    <row r="1217" spans="1:8" hidden="1" x14ac:dyDescent="0.45">
      <c r="A1217">
        <v>1215</v>
      </c>
      <c r="B1217" t="s">
        <v>7</v>
      </c>
      <c r="C1217" s="3">
        <v>1258726.0963813199</v>
      </c>
      <c r="D1217" s="3">
        <v>1335916.6499999999</v>
      </c>
      <c r="E1217" s="3">
        <v>731156.33672446304</v>
      </c>
      <c r="F1217" s="3">
        <v>1834627.7529332601</v>
      </c>
      <c r="G1217" s="1">
        <v>45016</v>
      </c>
      <c r="H1217" s="2">
        <v>44774</v>
      </c>
    </row>
    <row r="1218" spans="1:8" hidden="1" x14ac:dyDescent="0.45">
      <c r="A1218">
        <v>1216</v>
      </c>
      <c r="B1218" t="s">
        <v>7</v>
      </c>
      <c r="C1218" s="3">
        <v>1103175.40980154</v>
      </c>
      <c r="D1218" s="3">
        <v>976647.27</v>
      </c>
      <c r="E1218" s="3">
        <v>628892.01309995097</v>
      </c>
      <c r="F1218" s="3">
        <v>1633434.46950588</v>
      </c>
      <c r="G1218" s="1">
        <v>45016</v>
      </c>
      <c r="H1218" s="2">
        <v>44805</v>
      </c>
    </row>
    <row r="1219" spans="1:8" hidden="1" x14ac:dyDescent="0.45">
      <c r="A1219">
        <v>1217</v>
      </c>
      <c r="B1219" t="s">
        <v>7</v>
      </c>
      <c r="C1219" s="3">
        <v>912565.93901021394</v>
      </c>
      <c r="D1219" s="3">
        <v>975982.86</v>
      </c>
      <c r="E1219" s="3">
        <v>495473.63430710102</v>
      </c>
      <c r="F1219" s="3">
        <v>1355621.33513949</v>
      </c>
      <c r="G1219" s="1">
        <v>45016</v>
      </c>
      <c r="H1219" s="2">
        <v>44835</v>
      </c>
    </row>
    <row r="1220" spans="1:8" hidden="1" x14ac:dyDescent="0.45">
      <c r="A1220">
        <v>1218</v>
      </c>
      <c r="B1220" t="s">
        <v>7</v>
      </c>
      <c r="C1220" s="3">
        <v>2093158.8050265</v>
      </c>
      <c r="D1220" s="3">
        <v>2010415.16</v>
      </c>
      <c r="E1220" s="3">
        <v>1333783.6493527</v>
      </c>
      <c r="F1220" s="3">
        <v>2915283.3869808302</v>
      </c>
      <c r="G1220" s="1">
        <v>45016</v>
      </c>
      <c r="H1220" s="2">
        <v>44866</v>
      </c>
    </row>
    <row r="1221" spans="1:8" hidden="1" x14ac:dyDescent="0.45">
      <c r="A1221">
        <v>1219</v>
      </c>
      <c r="B1221" t="s">
        <v>7</v>
      </c>
      <c r="C1221" s="3">
        <v>499134.85770867101</v>
      </c>
      <c r="D1221" s="3">
        <v>348929.42</v>
      </c>
      <c r="E1221" s="3">
        <v>237320.44514308701</v>
      </c>
      <c r="F1221" s="3">
        <v>793388.44366795104</v>
      </c>
      <c r="G1221" s="1">
        <v>45016</v>
      </c>
      <c r="H1221" s="2">
        <v>44896</v>
      </c>
    </row>
    <row r="1222" spans="1:8" hidden="1" x14ac:dyDescent="0.45">
      <c r="A1222">
        <v>1220</v>
      </c>
      <c r="B1222" t="s">
        <v>7</v>
      </c>
      <c r="C1222" s="3">
        <v>1024006.92194001</v>
      </c>
      <c r="D1222" s="3">
        <v>1096298.6399999999</v>
      </c>
      <c r="E1222" s="3">
        <v>561560.96532973298</v>
      </c>
      <c r="F1222" s="3">
        <v>1517925.1783765899</v>
      </c>
      <c r="G1222" s="1">
        <v>45016</v>
      </c>
      <c r="H1222" s="2">
        <v>44927</v>
      </c>
    </row>
    <row r="1223" spans="1:8" hidden="1" x14ac:dyDescent="0.45">
      <c r="A1223">
        <v>1221</v>
      </c>
      <c r="B1223" t="s">
        <v>7</v>
      </c>
      <c r="C1223" s="3">
        <v>789574.43401529302</v>
      </c>
      <c r="D1223" s="3">
        <v>1036928.47</v>
      </c>
      <c r="E1223" s="3">
        <v>419864.176018033</v>
      </c>
      <c r="F1223" s="3">
        <v>1197307.4090131801</v>
      </c>
      <c r="G1223" s="1">
        <v>45016</v>
      </c>
      <c r="H1223" s="2">
        <v>44958</v>
      </c>
    </row>
    <row r="1224" spans="1:8" hidden="1" x14ac:dyDescent="0.45">
      <c r="A1224">
        <v>1222</v>
      </c>
      <c r="B1224" t="s">
        <v>7</v>
      </c>
      <c r="C1224" s="3">
        <v>1222525.9854005801</v>
      </c>
      <c r="D1224" s="3">
        <v>660363.89</v>
      </c>
      <c r="E1224" s="3">
        <v>720546.32790808298</v>
      </c>
      <c r="F1224" s="3">
        <v>1779671.98126954</v>
      </c>
      <c r="G1224" s="1">
        <v>45016</v>
      </c>
      <c r="H1224" s="2">
        <v>44986</v>
      </c>
    </row>
    <row r="1225" spans="1:8" hidden="1" x14ac:dyDescent="0.45">
      <c r="A1225">
        <v>1223</v>
      </c>
      <c r="B1225" t="s">
        <v>8</v>
      </c>
      <c r="C1225" s="3">
        <v>391508.76093038399</v>
      </c>
      <c r="D1225" s="3">
        <v>1051178.55</v>
      </c>
      <c r="E1225" s="3">
        <v>149092.74856509099</v>
      </c>
      <c r="F1225" s="3">
        <v>668288.27831068495</v>
      </c>
      <c r="G1225" s="1">
        <v>45016</v>
      </c>
      <c r="H1225" s="2">
        <v>45017</v>
      </c>
    </row>
    <row r="1226" spans="1:8" hidden="1" x14ac:dyDescent="0.45">
      <c r="A1226">
        <v>1224</v>
      </c>
      <c r="B1226" t="s">
        <v>8</v>
      </c>
      <c r="C1226" s="3">
        <v>567516.22045167803</v>
      </c>
      <c r="D1226" s="3">
        <v>1119883.3500000001</v>
      </c>
      <c r="E1226" s="3">
        <v>247740.95070418701</v>
      </c>
      <c r="F1226" s="3">
        <v>924791.00757236499</v>
      </c>
      <c r="G1226" s="1">
        <v>45016</v>
      </c>
      <c r="H1226" s="2">
        <v>45047</v>
      </c>
    </row>
    <row r="1227" spans="1:8" hidden="1" x14ac:dyDescent="0.45">
      <c r="A1227">
        <v>1225</v>
      </c>
      <c r="B1227" t="s">
        <v>8</v>
      </c>
      <c r="C1227" s="3">
        <v>948842.99774110306</v>
      </c>
      <c r="D1227" s="3">
        <v>948153.47</v>
      </c>
      <c r="E1227" s="3">
        <v>463561.720739935</v>
      </c>
      <c r="F1227" s="3">
        <v>1500449.0932330301</v>
      </c>
      <c r="G1227" s="1">
        <v>45016</v>
      </c>
      <c r="H1227" s="2">
        <v>45078</v>
      </c>
    </row>
    <row r="1228" spans="1:8" hidden="1" x14ac:dyDescent="0.45">
      <c r="A1228">
        <v>1226</v>
      </c>
      <c r="B1228" t="s">
        <v>8</v>
      </c>
      <c r="C1228" s="3">
        <v>920092.415304297</v>
      </c>
      <c r="D1228" s="3">
        <v>954878.44</v>
      </c>
      <c r="E1228" s="3">
        <v>455955.72721420001</v>
      </c>
      <c r="F1228" s="3">
        <v>1422822.87481364</v>
      </c>
      <c r="G1228" s="1">
        <v>45016</v>
      </c>
      <c r="H1228" s="2">
        <v>45108</v>
      </c>
    </row>
    <row r="1229" spans="1:8" hidden="1" x14ac:dyDescent="0.45">
      <c r="A1229">
        <v>1227</v>
      </c>
      <c r="B1229" t="s">
        <v>8</v>
      </c>
      <c r="C1229" s="3">
        <v>927356.77920335298</v>
      </c>
      <c r="D1229" s="3">
        <v>977925.16</v>
      </c>
      <c r="E1229" s="3">
        <v>481441.89874149702</v>
      </c>
      <c r="F1229" s="3">
        <v>1422222.3413092999</v>
      </c>
      <c r="G1229" s="1">
        <v>45016</v>
      </c>
      <c r="H1229" s="2">
        <v>45139</v>
      </c>
    </row>
    <row r="1230" spans="1:8" hidden="1" x14ac:dyDescent="0.45">
      <c r="A1230">
        <v>1228</v>
      </c>
      <c r="B1230" t="s">
        <v>8</v>
      </c>
      <c r="C1230" s="3">
        <v>786137.31871139398</v>
      </c>
      <c r="D1230" s="3">
        <v>1075650.94</v>
      </c>
      <c r="E1230" s="3">
        <v>414849.19175062602</v>
      </c>
      <c r="F1230" s="3">
        <v>1206540.5201846</v>
      </c>
      <c r="G1230" s="1">
        <v>45016</v>
      </c>
      <c r="H1230" s="2">
        <v>45170</v>
      </c>
    </row>
    <row r="1231" spans="1:8" hidden="1" x14ac:dyDescent="0.45">
      <c r="A1231">
        <v>1229</v>
      </c>
      <c r="B1231" t="s">
        <v>8</v>
      </c>
      <c r="C1231" s="3">
        <v>672846.89774147095</v>
      </c>
      <c r="D1231" s="3">
        <v>949865.92</v>
      </c>
      <c r="E1231" s="3">
        <v>320792.84410632798</v>
      </c>
      <c r="F1231" s="3">
        <v>1066017.9384793299</v>
      </c>
      <c r="G1231" s="1">
        <v>45016</v>
      </c>
      <c r="H1231" s="2">
        <v>45200</v>
      </c>
    </row>
    <row r="1232" spans="1:8" hidden="1" x14ac:dyDescent="0.45">
      <c r="A1232">
        <v>1230</v>
      </c>
      <c r="B1232" t="s">
        <v>8</v>
      </c>
      <c r="C1232" s="3">
        <v>1487857.63923291</v>
      </c>
      <c r="D1232" s="3">
        <v>1598948.82</v>
      </c>
      <c r="E1232" s="3">
        <v>876220.29013714602</v>
      </c>
      <c r="F1232" s="3">
        <v>2180971.85017038</v>
      </c>
      <c r="G1232" s="1">
        <v>45016</v>
      </c>
      <c r="H1232" s="2">
        <v>45231</v>
      </c>
    </row>
    <row r="1233" spans="1:8" hidden="1" x14ac:dyDescent="0.45">
      <c r="A1233">
        <v>1231</v>
      </c>
      <c r="B1233" t="s">
        <v>8</v>
      </c>
      <c r="C1233" s="3">
        <v>361993.73857544101</v>
      </c>
      <c r="D1233" s="3">
        <v>684734.6</v>
      </c>
      <c r="E1233" s="3">
        <v>158840.12549406299</v>
      </c>
      <c r="F1233" s="3">
        <v>599900.03320941702</v>
      </c>
      <c r="G1233" s="1">
        <v>45016</v>
      </c>
      <c r="H1233" s="2">
        <v>45261</v>
      </c>
    </row>
    <row r="1234" spans="1:8" hidden="1" x14ac:dyDescent="0.45">
      <c r="A1234">
        <v>1232</v>
      </c>
      <c r="B1234" t="s">
        <v>8</v>
      </c>
      <c r="C1234" s="3">
        <v>763795.58370666904</v>
      </c>
      <c r="D1234" s="3">
        <v>1061001.1100000001</v>
      </c>
      <c r="E1234" s="3">
        <v>403560.11112512503</v>
      </c>
      <c r="F1234" s="3">
        <v>1159737.12734584</v>
      </c>
      <c r="G1234" s="1">
        <v>45016</v>
      </c>
      <c r="H1234" s="2">
        <v>45292</v>
      </c>
    </row>
    <row r="1235" spans="1:8" hidden="1" x14ac:dyDescent="0.45">
      <c r="A1235">
        <v>1233</v>
      </c>
      <c r="B1235" t="s">
        <v>8</v>
      </c>
      <c r="C1235" s="3">
        <v>591848.22784130205</v>
      </c>
      <c r="D1235" s="3">
        <v>710482.96</v>
      </c>
      <c r="E1235" s="3">
        <v>300325.41725767899</v>
      </c>
      <c r="F1235" s="3">
        <v>917401.62125254597</v>
      </c>
      <c r="G1235" s="1">
        <v>45016</v>
      </c>
      <c r="H1235" s="2">
        <v>45323</v>
      </c>
    </row>
    <row r="1236" spans="1:8" hidden="1" x14ac:dyDescent="0.45">
      <c r="A1236">
        <v>1234</v>
      </c>
      <c r="B1236" t="s">
        <v>8</v>
      </c>
      <c r="C1236" s="3">
        <v>850997.73762680101</v>
      </c>
      <c r="D1236" s="3">
        <v>717695.1</v>
      </c>
      <c r="E1236" s="3">
        <v>472659.95033815899</v>
      </c>
      <c r="F1236" s="3">
        <v>1269055.78107116</v>
      </c>
      <c r="G1236" s="1">
        <v>45016</v>
      </c>
      <c r="H1236" s="2">
        <v>45352</v>
      </c>
    </row>
    <row r="1237" spans="1:8" hidden="1" x14ac:dyDescent="0.45">
      <c r="A1237">
        <v>1235</v>
      </c>
      <c r="B1237" t="s">
        <v>8</v>
      </c>
      <c r="C1237" s="3">
        <v>307115.191799969</v>
      </c>
      <c r="D1237" s="3">
        <v>1108080.58</v>
      </c>
      <c r="E1237" s="3">
        <v>112860.019779482</v>
      </c>
      <c r="F1237" s="3">
        <v>527761.628717602</v>
      </c>
      <c r="G1237" s="1">
        <v>45016</v>
      </c>
      <c r="H1237" s="2">
        <v>45383</v>
      </c>
    </row>
    <row r="1238" spans="1:8" hidden="1" x14ac:dyDescent="0.45">
      <c r="A1238">
        <v>1236</v>
      </c>
      <c r="B1238" t="s">
        <v>8</v>
      </c>
      <c r="C1238" s="3">
        <v>446613.90582155599</v>
      </c>
      <c r="D1238" s="3">
        <v>597788.36</v>
      </c>
      <c r="E1238" s="3">
        <v>187917.07496795099</v>
      </c>
      <c r="F1238" s="3">
        <v>741058.22459197196</v>
      </c>
      <c r="G1238" s="1">
        <v>45016</v>
      </c>
      <c r="H1238" s="2">
        <v>45413</v>
      </c>
    </row>
    <row r="1239" spans="1:8" hidden="1" x14ac:dyDescent="0.45">
      <c r="A1239">
        <v>1237</v>
      </c>
      <c r="B1239" t="s">
        <v>8</v>
      </c>
      <c r="C1239" s="3">
        <v>764417.88203495299</v>
      </c>
      <c r="D1239" s="3">
        <v>623532.36</v>
      </c>
      <c r="E1239" s="3">
        <v>343539.40665798797</v>
      </c>
      <c r="F1239" s="3">
        <v>1210736.4181569901</v>
      </c>
      <c r="G1239" s="1">
        <v>45016</v>
      </c>
      <c r="H1239" s="2">
        <v>45444</v>
      </c>
    </row>
    <row r="1240" spans="1:8" hidden="1" x14ac:dyDescent="0.45">
      <c r="A1240">
        <v>1238</v>
      </c>
      <c r="B1240" t="s">
        <v>8</v>
      </c>
      <c r="C1240" s="3">
        <v>744333.18983578996</v>
      </c>
      <c r="D1240" s="3">
        <v>684561.75</v>
      </c>
      <c r="E1240" s="3">
        <v>358689.31782399898</v>
      </c>
      <c r="F1240" s="3">
        <v>1156490.2957343501</v>
      </c>
      <c r="G1240" s="1">
        <v>45016</v>
      </c>
      <c r="H1240" s="2">
        <v>45474</v>
      </c>
    </row>
    <row r="1241" spans="1:8" hidden="1" x14ac:dyDescent="0.45">
      <c r="A1241">
        <v>1239</v>
      </c>
      <c r="B1241" t="s">
        <v>8</v>
      </c>
      <c r="C1241" s="3">
        <v>762939.92532783595</v>
      </c>
      <c r="D1241" s="3">
        <v>645572.06999999995</v>
      </c>
      <c r="E1241" s="3">
        <v>385356.24962378002</v>
      </c>
      <c r="F1241" s="3">
        <v>1165294.21924354</v>
      </c>
      <c r="G1241" s="1">
        <v>45016</v>
      </c>
      <c r="H1241" s="2">
        <v>45505</v>
      </c>
    </row>
    <row r="1242" spans="1:8" hidden="1" x14ac:dyDescent="0.45">
      <c r="A1242">
        <v>1240</v>
      </c>
      <c r="B1242" t="s">
        <v>8</v>
      </c>
      <c r="C1242" s="3">
        <v>654539.48204005999</v>
      </c>
      <c r="D1242" s="3">
        <v>1176087.72999999</v>
      </c>
      <c r="E1242" s="3">
        <v>341051.42363085202</v>
      </c>
      <c r="F1242" s="3">
        <v>1003935.9240714899</v>
      </c>
      <c r="G1242" s="1">
        <v>45016</v>
      </c>
      <c r="H1242" s="2">
        <v>45536</v>
      </c>
    </row>
    <row r="1243" spans="1:8" hidden="1" x14ac:dyDescent="0.45">
      <c r="A1243">
        <v>1241</v>
      </c>
      <c r="B1243" t="s">
        <v>8</v>
      </c>
      <c r="C1243" s="3">
        <v>563779.55651958694</v>
      </c>
      <c r="D1243" s="3">
        <v>466118.75</v>
      </c>
      <c r="E1243" s="3">
        <v>265845.91904806899</v>
      </c>
      <c r="F1243" s="3">
        <v>900850.62050586799</v>
      </c>
      <c r="G1243" s="1">
        <v>45016</v>
      </c>
      <c r="H1243" s="2">
        <v>45566</v>
      </c>
    </row>
    <row r="1244" spans="1:8" hidden="1" x14ac:dyDescent="0.45">
      <c r="A1244">
        <v>1242</v>
      </c>
      <c r="B1244" t="s">
        <v>8</v>
      </c>
      <c r="C1244" s="3">
        <v>1244068.56012654</v>
      </c>
      <c r="D1244" s="3"/>
      <c r="E1244" s="3">
        <v>735386.76892792399</v>
      </c>
      <c r="F1244" s="3">
        <v>1817954.0930397599</v>
      </c>
      <c r="G1244" s="1">
        <v>45016</v>
      </c>
      <c r="H1244" s="2">
        <v>45597</v>
      </c>
    </row>
    <row r="1245" spans="1:8" hidden="1" x14ac:dyDescent="0.45">
      <c r="A1245">
        <v>1243</v>
      </c>
      <c r="B1245" t="s">
        <v>8</v>
      </c>
      <c r="C1245" s="3">
        <v>310384.11214804603</v>
      </c>
      <c r="D1245" s="3"/>
      <c r="E1245" s="3">
        <v>137757.867744727</v>
      </c>
      <c r="F1245" s="3">
        <v>518517.82870658097</v>
      </c>
      <c r="G1245" s="1">
        <v>45016</v>
      </c>
      <c r="H1245" s="2">
        <v>45627</v>
      </c>
    </row>
    <row r="1246" spans="1:8" hidden="1" x14ac:dyDescent="0.45">
      <c r="A1246">
        <v>1244</v>
      </c>
      <c r="B1246" t="s">
        <v>8</v>
      </c>
      <c r="C1246" s="3">
        <v>654626.87128353596</v>
      </c>
      <c r="D1246" s="3"/>
      <c r="E1246" s="3">
        <v>349248.32618298201</v>
      </c>
      <c r="F1246" s="3">
        <v>999045.651603812</v>
      </c>
      <c r="G1246" s="1">
        <v>45016</v>
      </c>
      <c r="H1246" s="2">
        <v>45658</v>
      </c>
    </row>
    <row r="1247" spans="1:8" hidden="1" x14ac:dyDescent="0.45">
      <c r="A1247">
        <v>1245</v>
      </c>
      <c r="B1247" t="s">
        <v>8</v>
      </c>
      <c r="C1247" s="3">
        <v>509222.57358611602</v>
      </c>
      <c r="D1247" s="3"/>
      <c r="E1247" s="3">
        <v>251446.25240142201</v>
      </c>
      <c r="F1247" s="3">
        <v>785740.34716595104</v>
      </c>
      <c r="G1247" s="1">
        <v>45016</v>
      </c>
      <c r="H1247" s="2">
        <v>45689</v>
      </c>
    </row>
    <row r="1248" spans="1:8" hidden="1" x14ac:dyDescent="0.45">
      <c r="A1248">
        <v>1246</v>
      </c>
      <c r="B1248" t="s">
        <v>8</v>
      </c>
      <c r="C1248" s="3">
        <v>730384.50204603304</v>
      </c>
      <c r="D1248" s="3"/>
      <c r="E1248" s="3">
        <v>407466.65923583502</v>
      </c>
      <c r="F1248" s="3">
        <v>1090371.24921376</v>
      </c>
      <c r="G1248" s="1">
        <v>45016</v>
      </c>
      <c r="H1248" s="2">
        <v>45717</v>
      </c>
    </row>
    <row r="1249" spans="1:8" hidden="1" x14ac:dyDescent="0.45">
      <c r="A1249">
        <v>1247</v>
      </c>
      <c r="B1249" t="s">
        <v>8</v>
      </c>
      <c r="C1249" s="3">
        <v>265951.96325092099</v>
      </c>
      <c r="D1249" s="3"/>
      <c r="E1249" s="3">
        <v>96993.734455165293</v>
      </c>
      <c r="F1249" s="3">
        <v>455882.82811143098</v>
      </c>
      <c r="G1249" s="1">
        <v>45016</v>
      </c>
      <c r="H1249" s="2">
        <v>45748</v>
      </c>
    </row>
    <row r="1250" spans="1:8" hidden="1" x14ac:dyDescent="0.45">
      <c r="A1250">
        <v>1248</v>
      </c>
      <c r="B1250" t="s">
        <v>8</v>
      </c>
      <c r="C1250" s="3">
        <v>387078.64960520802</v>
      </c>
      <c r="D1250" s="3"/>
      <c r="E1250" s="3">
        <v>160148.64220197199</v>
      </c>
      <c r="F1250" s="3">
        <v>638971.63538703194</v>
      </c>
      <c r="G1250" s="1">
        <v>45016</v>
      </c>
      <c r="H1250" s="2">
        <v>45778</v>
      </c>
    </row>
    <row r="1251" spans="1:8" hidden="1" x14ac:dyDescent="0.45">
      <c r="A1251">
        <v>1249</v>
      </c>
      <c r="B1251" t="s">
        <v>8</v>
      </c>
      <c r="C1251" s="3">
        <v>665917.74142209301</v>
      </c>
      <c r="D1251" s="3"/>
      <c r="E1251" s="3">
        <v>311514.35166453302</v>
      </c>
      <c r="F1251" s="3">
        <v>1066588.8994446599</v>
      </c>
      <c r="G1251" s="1">
        <v>45016</v>
      </c>
      <c r="H1251" s="2">
        <v>45809</v>
      </c>
    </row>
    <row r="1252" spans="1:8" hidden="1" x14ac:dyDescent="0.45">
      <c r="A1252">
        <v>1250</v>
      </c>
      <c r="B1252" t="s">
        <v>8</v>
      </c>
      <c r="C1252" s="3">
        <v>649158.78284591495</v>
      </c>
      <c r="D1252" s="3"/>
      <c r="E1252" s="3">
        <v>314604.01455060602</v>
      </c>
      <c r="F1252" s="3">
        <v>1006311.80150359</v>
      </c>
      <c r="G1252" s="1">
        <v>45016</v>
      </c>
      <c r="H1252" s="2">
        <v>45839</v>
      </c>
    </row>
    <row r="1253" spans="1:8" hidden="1" x14ac:dyDescent="0.45">
      <c r="A1253">
        <v>1251</v>
      </c>
      <c r="B1253" t="s">
        <v>8</v>
      </c>
      <c r="C1253" s="3">
        <v>663051.23859877896</v>
      </c>
      <c r="D1253" s="3"/>
      <c r="E1253" s="3">
        <v>348483.98421192297</v>
      </c>
      <c r="F1253" s="3">
        <v>1016434.21828555</v>
      </c>
      <c r="G1253" s="1">
        <v>45016</v>
      </c>
      <c r="H1253" s="2">
        <v>45870</v>
      </c>
    </row>
    <row r="1254" spans="1:8" hidden="1" x14ac:dyDescent="0.45">
      <c r="A1254">
        <v>1252</v>
      </c>
      <c r="B1254" t="s">
        <v>8</v>
      </c>
      <c r="C1254" s="3">
        <v>571720.52032081096</v>
      </c>
      <c r="D1254" s="3"/>
      <c r="E1254" s="3">
        <v>301912.50241274701</v>
      </c>
      <c r="F1254" s="3">
        <v>876071.77831691201</v>
      </c>
      <c r="G1254" s="1">
        <v>45016</v>
      </c>
      <c r="H1254" s="2">
        <v>45901</v>
      </c>
    </row>
    <row r="1255" spans="1:8" hidden="1" x14ac:dyDescent="0.45">
      <c r="A1255">
        <v>1253</v>
      </c>
      <c r="B1255" t="s">
        <v>8</v>
      </c>
      <c r="C1255" s="3">
        <v>491021.050773344</v>
      </c>
      <c r="D1255" s="3"/>
      <c r="E1255" s="3">
        <v>233929.92526338599</v>
      </c>
      <c r="F1255" s="3">
        <v>782191.21267513302</v>
      </c>
      <c r="G1255" s="1">
        <v>45016</v>
      </c>
      <c r="H1255" s="2">
        <v>45931</v>
      </c>
    </row>
    <row r="1256" spans="1:8" hidden="1" x14ac:dyDescent="0.45">
      <c r="A1256">
        <v>1254</v>
      </c>
      <c r="B1256" t="s">
        <v>7</v>
      </c>
      <c r="C1256" s="3">
        <v>145192.177951733</v>
      </c>
      <c r="D1256" s="3">
        <v>28250.62</v>
      </c>
      <c r="E1256" s="3">
        <v>85245.859932426596</v>
      </c>
      <c r="F1256" s="3">
        <v>212990.707681189</v>
      </c>
      <c r="G1256" s="1">
        <v>45046</v>
      </c>
      <c r="H1256" s="2">
        <v>44228</v>
      </c>
    </row>
    <row r="1257" spans="1:8" hidden="1" x14ac:dyDescent="0.45">
      <c r="A1257">
        <v>1255</v>
      </c>
      <c r="B1257" t="s">
        <v>7</v>
      </c>
      <c r="C1257" s="3">
        <v>310641.16109901899</v>
      </c>
      <c r="D1257" s="3">
        <v>36247.919999999998</v>
      </c>
      <c r="E1257" s="3">
        <v>201344.46105356701</v>
      </c>
      <c r="F1257" s="3">
        <v>427419.45599577099</v>
      </c>
      <c r="G1257" s="1">
        <v>45046</v>
      </c>
      <c r="H1257" s="2">
        <v>44256</v>
      </c>
    </row>
    <row r="1258" spans="1:8" hidden="1" x14ac:dyDescent="0.45">
      <c r="A1258">
        <v>1256</v>
      </c>
      <c r="B1258" t="s">
        <v>7</v>
      </c>
      <c r="C1258" s="3">
        <v>141124.482458727</v>
      </c>
      <c r="D1258" s="3">
        <v>14721.48</v>
      </c>
      <c r="E1258" s="3">
        <v>76394.957804260906</v>
      </c>
      <c r="F1258" s="3">
        <v>221496.93203458001</v>
      </c>
      <c r="G1258" s="1">
        <v>45046</v>
      </c>
      <c r="H1258" s="2">
        <v>44287</v>
      </c>
    </row>
    <row r="1259" spans="1:8" hidden="1" x14ac:dyDescent="0.45">
      <c r="A1259">
        <v>1257</v>
      </c>
      <c r="B1259" t="s">
        <v>7</v>
      </c>
      <c r="C1259" s="3">
        <v>193144.32566960101</v>
      </c>
      <c r="D1259" s="3">
        <v>94346.71</v>
      </c>
      <c r="E1259" s="3">
        <v>107669.52343334501</v>
      </c>
      <c r="F1259" s="3">
        <v>283653.78257674398</v>
      </c>
      <c r="G1259" s="1">
        <v>45046</v>
      </c>
      <c r="H1259" s="2">
        <v>44317</v>
      </c>
    </row>
    <row r="1260" spans="1:8" hidden="1" x14ac:dyDescent="0.45">
      <c r="A1260">
        <v>1258</v>
      </c>
      <c r="B1260" t="s">
        <v>7</v>
      </c>
      <c r="C1260" s="3">
        <v>502087.04575905198</v>
      </c>
      <c r="D1260" s="3">
        <v>970740.72</v>
      </c>
      <c r="E1260" s="3">
        <v>329596.94629025401</v>
      </c>
      <c r="F1260" s="3">
        <v>694580.35517623695</v>
      </c>
      <c r="G1260" s="1">
        <v>45046</v>
      </c>
      <c r="H1260" s="2">
        <v>44348</v>
      </c>
    </row>
    <row r="1261" spans="1:8" hidden="1" x14ac:dyDescent="0.45">
      <c r="A1261">
        <v>1259</v>
      </c>
      <c r="B1261" t="s">
        <v>7</v>
      </c>
      <c r="C1261" s="3">
        <v>1093955.78974525</v>
      </c>
      <c r="D1261" s="3">
        <v>1798271.24</v>
      </c>
      <c r="E1261" s="3">
        <v>746326.07858301105</v>
      </c>
      <c r="F1261" s="3">
        <v>1464569.10486825</v>
      </c>
      <c r="G1261" s="1">
        <v>45046</v>
      </c>
      <c r="H1261" s="2">
        <v>44378</v>
      </c>
    </row>
    <row r="1262" spans="1:8" hidden="1" x14ac:dyDescent="0.45">
      <c r="A1262">
        <v>1260</v>
      </c>
      <c r="B1262" t="s">
        <v>7</v>
      </c>
      <c r="C1262" s="3">
        <v>1083589.41361427</v>
      </c>
      <c r="D1262" s="3">
        <v>700449.31</v>
      </c>
      <c r="E1262" s="3">
        <v>713682.63547312003</v>
      </c>
      <c r="F1262" s="3">
        <v>1483169.20773801</v>
      </c>
      <c r="G1262" s="1">
        <v>45046</v>
      </c>
      <c r="H1262" s="2">
        <v>44409</v>
      </c>
    </row>
    <row r="1263" spans="1:8" hidden="1" x14ac:dyDescent="0.45">
      <c r="A1263">
        <v>1261</v>
      </c>
      <c r="B1263" t="s">
        <v>7</v>
      </c>
      <c r="C1263" s="3">
        <v>1154563.74096984</v>
      </c>
      <c r="D1263" s="3">
        <v>1784906.52</v>
      </c>
      <c r="E1263" s="3">
        <v>744744.38115803304</v>
      </c>
      <c r="F1263" s="3">
        <v>1598797.79415324</v>
      </c>
      <c r="G1263" s="1">
        <v>45046</v>
      </c>
      <c r="H1263" s="2">
        <v>44440</v>
      </c>
    </row>
    <row r="1264" spans="1:8" hidden="1" x14ac:dyDescent="0.45">
      <c r="A1264">
        <v>1262</v>
      </c>
      <c r="B1264" t="s">
        <v>7</v>
      </c>
      <c r="C1264" s="3">
        <v>982417.07670015597</v>
      </c>
      <c r="D1264" s="3">
        <v>706422.77</v>
      </c>
      <c r="E1264" s="3">
        <v>600097.02653947903</v>
      </c>
      <c r="F1264" s="3">
        <v>1378650.3206078501</v>
      </c>
      <c r="G1264" s="1">
        <v>45046</v>
      </c>
      <c r="H1264" s="2">
        <v>44470</v>
      </c>
    </row>
    <row r="1265" spans="1:8" hidden="1" x14ac:dyDescent="0.45">
      <c r="A1265">
        <v>1263</v>
      </c>
      <c r="B1265" t="s">
        <v>7</v>
      </c>
      <c r="C1265" s="3">
        <v>2258975.25494052</v>
      </c>
      <c r="D1265" s="3">
        <v>3115611.92</v>
      </c>
      <c r="E1265" s="3">
        <v>1622345.74832914</v>
      </c>
      <c r="F1265" s="3">
        <v>2884971.3531204001</v>
      </c>
      <c r="G1265" s="1">
        <v>45046</v>
      </c>
      <c r="H1265" s="2">
        <v>44501</v>
      </c>
    </row>
    <row r="1266" spans="1:8" hidden="1" x14ac:dyDescent="0.45">
      <c r="A1266">
        <v>1264</v>
      </c>
      <c r="B1266" t="s">
        <v>7</v>
      </c>
      <c r="C1266" s="3">
        <v>663196.60913289199</v>
      </c>
      <c r="D1266" s="3">
        <v>227049.91</v>
      </c>
      <c r="E1266" s="3">
        <v>358071.031489708</v>
      </c>
      <c r="F1266" s="3">
        <v>1011788.58363768</v>
      </c>
      <c r="G1266" s="1">
        <v>45046</v>
      </c>
      <c r="H1266" s="2">
        <v>44531</v>
      </c>
    </row>
    <row r="1267" spans="1:8" hidden="1" x14ac:dyDescent="0.45">
      <c r="A1267">
        <v>1265</v>
      </c>
      <c r="B1267" t="s">
        <v>7</v>
      </c>
      <c r="C1267" s="3">
        <v>1289413.5264178501</v>
      </c>
      <c r="D1267" s="3">
        <v>1231496.1499999999</v>
      </c>
      <c r="E1267" s="3">
        <v>811271.00270350103</v>
      </c>
      <c r="F1267" s="3">
        <v>1776884.0018834099</v>
      </c>
      <c r="G1267" s="1">
        <v>45046</v>
      </c>
      <c r="H1267" s="2">
        <v>44562</v>
      </c>
    </row>
    <row r="1268" spans="1:8" hidden="1" x14ac:dyDescent="0.45">
      <c r="A1268">
        <v>1266</v>
      </c>
      <c r="B1268" t="s">
        <v>7</v>
      </c>
      <c r="C1268" s="3">
        <v>1020785.78199649</v>
      </c>
      <c r="D1268" s="3">
        <v>1031231.86</v>
      </c>
      <c r="E1268" s="3">
        <v>629393.87784190604</v>
      </c>
      <c r="F1268" s="3">
        <v>1452955.0457135299</v>
      </c>
      <c r="G1268" s="1">
        <v>45046</v>
      </c>
      <c r="H1268" s="2">
        <v>44593</v>
      </c>
    </row>
    <row r="1269" spans="1:8" hidden="1" x14ac:dyDescent="0.45">
      <c r="A1269">
        <v>1267</v>
      </c>
      <c r="B1269" t="s">
        <v>7</v>
      </c>
      <c r="C1269" s="3">
        <v>1824408.7708205001</v>
      </c>
      <c r="D1269" s="3">
        <v>2866780.02</v>
      </c>
      <c r="E1269" s="3">
        <v>1191999.98789022</v>
      </c>
      <c r="F1269" s="3">
        <v>2487766.3443015101</v>
      </c>
      <c r="G1269" s="1">
        <v>45046</v>
      </c>
      <c r="H1269" s="2">
        <v>44621</v>
      </c>
    </row>
    <row r="1270" spans="1:8" hidden="1" x14ac:dyDescent="0.45">
      <c r="A1270">
        <v>1268</v>
      </c>
      <c r="B1270" t="s">
        <v>7</v>
      </c>
      <c r="C1270" s="3">
        <v>753716.19010676898</v>
      </c>
      <c r="D1270" s="3">
        <v>106305.83</v>
      </c>
      <c r="E1270" s="3">
        <v>406196.789846798</v>
      </c>
      <c r="F1270" s="3">
        <v>1133524.01741804</v>
      </c>
      <c r="G1270" s="1">
        <v>45046</v>
      </c>
      <c r="H1270" s="2">
        <v>44652</v>
      </c>
    </row>
    <row r="1271" spans="1:8" hidden="1" x14ac:dyDescent="0.45">
      <c r="A1271">
        <v>1269</v>
      </c>
      <c r="B1271" t="s">
        <v>7</v>
      </c>
      <c r="C1271" s="3">
        <v>852630.673649851</v>
      </c>
      <c r="D1271" s="3">
        <v>667164.73</v>
      </c>
      <c r="E1271" s="3">
        <v>467031.14064853301</v>
      </c>
      <c r="F1271" s="3">
        <v>1276577.3129219799</v>
      </c>
      <c r="G1271" s="1">
        <v>45046</v>
      </c>
      <c r="H1271" s="2">
        <v>44682</v>
      </c>
    </row>
    <row r="1272" spans="1:8" hidden="1" x14ac:dyDescent="0.45">
      <c r="A1272">
        <v>1270</v>
      </c>
      <c r="B1272" t="s">
        <v>7</v>
      </c>
      <c r="C1272" s="3">
        <v>1355029.9749847299</v>
      </c>
      <c r="D1272" s="3">
        <v>1398761.09</v>
      </c>
      <c r="E1272" s="3">
        <v>828344.56578470895</v>
      </c>
      <c r="F1272" s="3">
        <v>1948403.51561053</v>
      </c>
      <c r="G1272" s="1">
        <v>45046</v>
      </c>
      <c r="H1272" s="2">
        <v>44713</v>
      </c>
    </row>
    <row r="1273" spans="1:8" hidden="1" x14ac:dyDescent="0.45">
      <c r="A1273">
        <v>1271</v>
      </c>
      <c r="B1273" t="s">
        <v>7</v>
      </c>
      <c r="C1273" s="3">
        <v>1406354.5193248</v>
      </c>
      <c r="D1273" s="3">
        <v>931475.54</v>
      </c>
      <c r="E1273" s="3">
        <v>838109.76961024106</v>
      </c>
      <c r="F1273" s="3">
        <v>2010937.8195457601</v>
      </c>
      <c r="G1273" s="1">
        <v>45046</v>
      </c>
      <c r="H1273" s="2">
        <v>44743</v>
      </c>
    </row>
    <row r="1274" spans="1:8" hidden="1" x14ac:dyDescent="0.45">
      <c r="A1274">
        <v>1272</v>
      </c>
      <c r="B1274" t="s">
        <v>7</v>
      </c>
      <c r="C1274" s="3">
        <v>1278439.6353595699</v>
      </c>
      <c r="D1274" s="3">
        <v>1335916.6499999999</v>
      </c>
      <c r="E1274" s="3">
        <v>762612.58139482199</v>
      </c>
      <c r="F1274" s="3">
        <v>1824986.0476410401</v>
      </c>
      <c r="G1274" s="1">
        <v>45046</v>
      </c>
      <c r="H1274" s="2">
        <v>44774</v>
      </c>
    </row>
    <row r="1275" spans="1:8" hidden="1" x14ac:dyDescent="0.45">
      <c r="A1275">
        <v>1273</v>
      </c>
      <c r="B1275" t="s">
        <v>7</v>
      </c>
      <c r="C1275" s="3">
        <v>1151010.24022755</v>
      </c>
      <c r="D1275" s="3">
        <v>976647.27</v>
      </c>
      <c r="E1275" s="3">
        <v>672767.93078557495</v>
      </c>
      <c r="F1275" s="3">
        <v>1688135.6104928399</v>
      </c>
      <c r="G1275" s="1">
        <v>45046</v>
      </c>
      <c r="H1275" s="2">
        <v>44805</v>
      </c>
    </row>
    <row r="1276" spans="1:8" hidden="1" x14ac:dyDescent="0.45">
      <c r="A1276">
        <v>1274</v>
      </c>
      <c r="B1276" t="s">
        <v>7</v>
      </c>
      <c r="C1276" s="3">
        <v>943590.85073725402</v>
      </c>
      <c r="D1276" s="3">
        <v>975982.86</v>
      </c>
      <c r="E1276" s="3">
        <v>544551.10199561203</v>
      </c>
      <c r="F1276" s="3">
        <v>1378008.32827147</v>
      </c>
      <c r="G1276" s="1">
        <v>45046</v>
      </c>
      <c r="H1276" s="2">
        <v>44835</v>
      </c>
    </row>
    <row r="1277" spans="1:8" hidden="1" x14ac:dyDescent="0.45">
      <c r="A1277">
        <v>1275</v>
      </c>
      <c r="B1277" t="s">
        <v>7</v>
      </c>
      <c r="C1277" s="3">
        <v>2175918.5625884901</v>
      </c>
      <c r="D1277" s="3">
        <v>2010415.16</v>
      </c>
      <c r="E1277" s="3">
        <v>1416162.7339307601</v>
      </c>
      <c r="F1277" s="3">
        <v>2986301.4183712802</v>
      </c>
      <c r="G1277" s="1">
        <v>45046</v>
      </c>
      <c r="H1277" s="2">
        <v>44866</v>
      </c>
    </row>
    <row r="1278" spans="1:8" hidden="1" x14ac:dyDescent="0.45">
      <c r="A1278">
        <v>1276</v>
      </c>
      <c r="B1278" t="s">
        <v>7</v>
      </c>
      <c r="C1278" s="3">
        <v>553868.58773124602</v>
      </c>
      <c r="D1278" s="3">
        <v>348929.42</v>
      </c>
      <c r="E1278" s="3">
        <v>277729.34689555701</v>
      </c>
      <c r="F1278" s="3">
        <v>867391.99856096995</v>
      </c>
      <c r="G1278" s="1">
        <v>45046</v>
      </c>
      <c r="H1278" s="2">
        <v>44896</v>
      </c>
    </row>
    <row r="1279" spans="1:8" hidden="1" x14ac:dyDescent="0.45">
      <c r="A1279">
        <v>1277</v>
      </c>
      <c r="B1279" t="s">
        <v>7</v>
      </c>
      <c r="C1279" s="3">
        <v>1082260.5671985899</v>
      </c>
      <c r="D1279" s="3">
        <v>1096298.6399999999</v>
      </c>
      <c r="E1279" s="3">
        <v>626477.62877903797</v>
      </c>
      <c r="F1279" s="3">
        <v>1574207.16117594</v>
      </c>
      <c r="G1279" s="1">
        <v>45046</v>
      </c>
      <c r="H1279" s="2">
        <v>44927</v>
      </c>
    </row>
    <row r="1280" spans="1:8" hidden="1" x14ac:dyDescent="0.45">
      <c r="A1280">
        <v>1278</v>
      </c>
      <c r="B1280" t="s">
        <v>7</v>
      </c>
      <c r="C1280" s="3">
        <v>849850.54591323202</v>
      </c>
      <c r="D1280" s="3">
        <v>1036928.47</v>
      </c>
      <c r="E1280" s="3">
        <v>485082.89908475499</v>
      </c>
      <c r="F1280" s="3">
        <v>1255272.76127428</v>
      </c>
      <c r="G1280" s="1">
        <v>45046</v>
      </c>
      <c r="H1280" s="2">
        <v>44958</v>
      </c>
    </row>
    <row r="1281" spans="1:8" hidden="1" x14ac:dyDescent="0.45">
      <c r="A1281">
        <v>1279</v>
      </c>
      <c r="B1281" t="s">
        <v>7</v>
      </c>
      <c r="C1281" s="3">
        <v>1319810.1888936399</v>
      </c>
      <c r="D1281" s="3">
        <v>660363.89</v>
      </c>
      <c r="E1281" s="3">
        <v>789806.86702437897</v>
      </c>
      <c r="F1281" s="3">
        <v>1888923.8394416401</v>
      </c>
      <c r="G1281" s="1">
        <v>45046</v>
      </c>
      <c r="H1281" s="2">
        <v>44986</v>
      </c>
    </row>
    <row r="1282" spans="1:8" hidden="1" x14ac:dyDescent="0.45">
      <c r="A1282">
        <v>1280</v>
      </c>
      <c r="B1282" t="s">
        <v>7</v>
      </c>
      <c r="C1282" s="3">
        <v>614995.69920725399</v>
      </c>
      <c r="D1282" s="3">
        <v>1093282.48</v>
      </c>
      <c r="E1282" s="3">
        <v>326531.83469345002</v>
      </c>
      <c r="F1282" s="3">
        <v>941267.88141171203</v>
      </c>
      <c r="G1282" s="1">
        <v>45046</v>
      </c>
      <c r="H1282" s="2">
        <v>45017</v>
      </c>
    </row>
    <row r="1283" spans="1:8" hidden="1" x14ac:dyDescent="0.45">
      <c r="A1283">
        <v>1281</v>
      </c>
      <c r="B1283" t="s">
        <v>8</v>
      </c>
      <c r="C1283" s="3">
        <v>672283.60066589701</v>
      </c>
      <c r="D1283" s="3">
        <v>1159641.54999999</v>
      </c>
      <c r="E1283" s="3">
        <v>323268.17542610603</v>
      </c>
      <c r="F1283" s="3">
        <v>1059052.7816148</v>
      </c>
      <c r="G1283" s="1">
        <v>45046</v>
      </c>
      <c r="H1283" s="2">
        <v>45047</v>
      </c>
    </row>
    <row r="1284" spans="1:8" hidden="1" x14ac:dyDescent="0.45">
      <c r="A1284">
        <v>1282</v>
      </c>
      <c r="B1284" t="s">
        <v>8</v>
      </c>
      <c r="C1284" s="3">
        <v>1073431.3157111299</v>
      </c>
      <c r="D1284" s="3">
        <v>975517.01</v>
      </c>
      <c r="E1284" s="3">
        <v>554998.05039915896</v>
      </c>
      <c r="F1284" s="3">
        <v>1633846.89243858</v>
      </c>
      <c r="G1284" s="1">
        <v>45046</v>
      </c>
      <c r="H1284" s="2">
        <v>45078</v>
      </c>
    </row>
    <row r="1285" spans="1:8" hidden="1" x14ac:dyDescent="0.45">
      <c r="A1285">
        <v>1283</v>
      </c>
      <c r="B1285" t="s">
        <v>8</v>
      </c>
      <c r="C1285" s="3">
        <v>1090254.95372624</v>
      </c>
      <c r="D1285" s="3">
        <v>980072.66</v>
      </c>
      <c r="E1285" s="3">
        <v>589954.97572037904</v>
      </c>
      <c r="F1285" s="3">
        <v>1654555.50666083</v>
      </c>
      <c r="G1285" s="1">
        <v>45046</v>
      </c>
      <c r="H1285" s="2">
        <v>45108</v>
      </c>
    </row>
    <row r="1286" spans="1:8" hidden="1" x14ac:dyDescent="0.45">
      <c r="A1286">
        <v>1284</v>
      </c>
      <c r="B1286" t="s">
        <v>8</v>
      </c>
      <c r="C1286" s="3">
        <v>1072104.8943105999</v>
      </c>
      <c r="D1286" s="3">
        <v>1003255.36</v>
      </c>
      <c r="E1286" s="3">
        <v>556852.109666234</v>
      </c>
      <c r="F1286" s="3">
        <v>1629120.25005626</v>
      </c>
      <c r="G1286" s="1">
        <v>45046</v>
      </c>
      <c r="H1286" s="2">
        <v>45139</v>
      </c>
    </row>
    <row r="1287" spans="1:8" hidden="1" x14ac:dyDescent="0.45">
      <c r="A1287">
        <v>1285</v>
      </c>
      <c r="B1287" t="s">
        <v>8</v>
      </c>
      <c r="C1287" s="3">
        <v>951411.49771522603</v>
      </c>
      <c r="D1287" s="3">
        <v>1107140.94</v>
      </c>
      <c r="E1287" s="3">
        <v>500205.68700928299</v>
      </c>
      <c r="F1287" s="3">
        <v>1441748.1977540699</v>
      </c>
      <c r="G1287" s="1">
        <v>45046</v>
      </c>
      <c r="H1287" s="2">
        <v>45170</v>
      </c>
    </row>
    <row r="1288" spans="1:8" hidden="1" x14ac:dyDescent="0.45">
      <c r="A1288">
        <v>1286</v>
      </c>
      <c r="B1288" t="s">
        <v>8</v>
      </c>
      <c r="C1288" s="3">
        <v>779079.72751925595</v>
      </c>
      <c r="D1288" s="3">
        <v>973194.71</v>
      </c>
      <c r="E1288" s="3">
        <v>413974.84791833599</v>
      </c>
      <c r="F1288" s="3">
        <v>1184020.6721022399</v>
      </c>
      <c r="G1288" s="1">
        <v>45046</v>
      </c>
      <c r="H1288" s="2">
        <v>45200</v>
      </c>
    </row>
    <row r="1289" spans="1:8" hidden="1" x14ac:dyDescent="0.45">
      <c r="A1289">
        <v>1287</v>
      </c>
      <c r="B1289" t="s">
        <v>8</v>
      </c>
      <c r="C1289" s="3">
        <v>1725386.8975255</v>
      </c>
      <c r="D1289" s="3">
        <v>1635756.69</v>
      </c>
      <c r="E1289" s="3">
        <v>1027760.94617538</v>
      </c>
      <c r="F1289" s="3">
        <v>2475025.9967371402</v>
      </c>
      <c r="G1289" s="1">
        <v>45046</v>
      </c>
      <c r="H1289" s="2">
        <v>45231</v>
      </c>
    </row>
    <row r="1290" spans="1:8" hidden="1" x14ac:dyDescent="0.45">
      <c r="A1290">
        <v>1288</v>
      </c>
      <c r="B1290" t="s">
        <v>8</v>
      </c>
      <c r="C1290" s="3">
        <v>448283.49836474302</v>
      </c>
      <c r="D1290" s="3">
        <v>703318.55999999901</v>
      </c>
      <c r="E1290" s="3">
        <v>212804.525339021</v>
      </c>
      <c r="F1290" s="3">
        <v>719520.36663262802</v>
      </c>
      <c r="G1290" s="1">
        <v>45046</v>
      </c>
      <c r="H1290" s="2">
        <v>45261</v>
      </c>
    </row>
    <row r="1291" spans="1:8" hidden="1" x14ac:dyDescent="0.45">
      <c r="A1291">
        <v>1289</v>
      </c>
      <c r="B1291" t="s">
        <v>8</v>
      </c>
      <c r="C1291" s="3">
        <v>873919.035670607</v>
      </c>
      <c r="D1291" s="3">
        <v>1084273.7</v>
      </c>
      <c r="E1291" s="3">
        <v>475273.81595957698</v>
      </c>
      <c r="F1291" s="3">
        <v>1321527.779623</v>
      </c>
      <c r="G1291" s="1">
        <v>45046</v>
      </c>
      <c r="H1291" s="2">
        <v>45292</v>
      </c>
    </row>
    <row r="1292" spans="1:8" hidden="1" x14ac:dyDescent="0.45">
      <c r="A1292">
        <v>1290</v>
      </c>
      <c r="B1292" t="s">
        <v>8</v>
      </c>
      <c r="C1292" s="3">
        <v>698488.44875076902</v>
      </c>
      <c r="D1292" s="3">
        <v>725052.66</v>
      </c>
      <c r="E1292" s="3">
        <v>381429.33341576002</v>
      </c>
      <c r="F1292" s="3">
        <v>1049562.9704954301</v>
      </c>
      <c r="G1292" s="1">
        <v>45046</v>
      </c>
      <c r="H1292" s="2">
        <v>45323</v>
      </c>
    </row>
    <row r="1293" spans="1:8" hidden="1" x14ac:dyDescent="0.45">
      <c r="A1293">
        <v>1291</v>
      </c>
      <c r="B1293" t="s">
        <v>8</v>
      </c>
      <c r="C1293" s="3">
        <v>1012783.188432</v>
      </c>
      <c r="D1293" s="3">
        <v>733392.66</v>
      </c>
      <c r="E1293" s="3">
        <v>558783.33004992502</v>
      </c>
      <c r="F1293" s="3">
        <v>1513114.3619029799</v>
      </c>
      <c r="G1293" s="1">
        <v>45046</v>
      </c>
      <c r="H1293" s="2">
        <v>45352</v>
      </c>
    </row>
    <row r="1294" spans="1:8" hidden="1" x14ac:dyDescent="0.45">
      <c r="A1294">
        <v>1292</v>
      </c>
      <c r="B1294" t="s">
        <v>8</v>
      </c>
      <c r="C1294" s="3">
        <v>526425.17505912797</v>
      </c>
      <c r="D1294" s="3">
        <v>1127544.03</v>
      </c>
      <c r="E1294" s="3">
        <v>267182.586571455</v>
      </c>
      <c r="F1294" s="3">
        <v>815131.93819965306</v>
      </c>
      <c r="G1294" s="1">
        <v>45046</v>
      </c>
      <c r="H1294" s="2">
        <v>45383</v>
      </c>
    </row>
    <row r="1295" spans="1:8" hidden="1" x14ac:dyDescent="0.45">
      <c r="A1295">
        <v>1293</v>
      </c>
      <c r="B1295" t="s">
        <v>8</v>
      </c>
      <c r="C1295" s="3">
        <v>563554.99066027999</v>
      </c>
      <c r="D1295" s="3">
        <v>611157.9</v>
      </c>
      <c r="E1295" s="3">
        <v>268839.99447042297</v>
      </c>
      <c r="F1295" s="3">
        <v>907994.44277808804</v>
      </c>
      <c r="G1295" s="1">
        <v>45046</v>
      </c>
      <c r="H1295" s="2">
        <v>45413</v>
      </c>
    </row>
    <row r="1296" spans="1:8" hidden="1" x14ac:dyDescent="0.45">
      <c r="A1296">
        <v>1294</v>
      </c>
      <c r="B1296" t="s">
        <v>8</v>
      </c>
      <c r="C1296" s="3">
        <v>913326.52861639298</v>
      </c>
      <c r="D1296" s="3">
        <v>636552.39</v>
      </c>
      <c r="E1296" s="3">
        <v>464658.12570160301</v>
      </c>
      <c r="F1296" s="3">
        <v>1421381.6663799</v>
      </c>
      <c r="G1296" s="1">
        <v>45046</v>
      </c>
      <c r="H1296" s="2">
        <v>45444</v>
      </c>
    </row>
    <row r="1297" spans="1:8" hidden="1" x14ac:dyDescent="0.45">
      <c r="A1297">
        <v>1295</v>
      </c>
      <c r="B1297" t="s">
        <v>8</v>
      </c>
      <c r="C1297" s="3">
        <v>928861.01201842795</v>
      </c>
      <c r="D1297" s="3">
        <v>699959.87</v>
      </c>
      <c r="E1297" s="3">
        <v>492611.32086905401</v>
      </c>
      <c r="F1297" s="3">
        <v>1427351.1441242399</v>
      </c>
      <c r="G1297" s="1">
        <v>45046</v>
      </c>
      <c r="H1297" s="2">
        <v>45474</v>
      </c>
    </row>
    <row r="1298" spans="1:8" hidden="1" x14ac:dyDescent="0.45">
      <c r="A1298">
        <v>1296</v>
      </c>
      <c r="B1298" t="s">
        <v>8</v>
      </c>
      <c r="C1298" s="3">
        <v>931973.27464483795</v>
      </c>
      <c r="D1298" s="3">
        <v>658278.18000000005</v>
      </c>
      <c r="E1298" s="3">
        <v>471058.78983721702</v>
      </c>
      <c r="F1298" s="3">
        <v>1430972.04400183</v>
      </c>
      <c r="G1298" s="1">
        <v>45046</v>
      </c>
      <c r="H1298" s="2">
        <v>45505</v>
      </c>
    </row>
    <row r="1299" spans="1:8" hidden="1" x14ac:dyDescent="0.45">
      <c r="A1299">
        <v>1297</v>
      </c>
      <c r="B1299" t="s">
        <v>8</v>
      </c>
      <c r="C1299" s="3">
        <v>833683.18016121304</v>
      </c>
      <c r="D1299" s="3">
        <v>1192839.5799999901</v>
      </c>
      <c r="E1299" s="3">
        <v>432358.11204481398</v>
      </c>
      <c r="F1299" s="3">
        <v>1265592.77503644</v>
      </c>
      <c r="G1299" s="1">
        <v>45046</v>
      </c>
      <c r="H1299" s="2">
        <v>45536</v>
      </c>
    </row>
    <row r="1300" spans="1:8" hidden="1" x14ac:dyDescent="0.45">
      <c r="A1300">
        <v>1298</v>
      </c>
      <c r="B1300" t="s">
        <v>8</v>
      </c>
      <c r="C1300" s="3">
        <v>681803.28282733995</v>
      </c>
      <c r="D1300" s="3">
        <v>471748.27</v>
      </c>
      <c r="E1300" s="3">
        <v>361191.14034304098</v>
      </c>
      <c r="F1300" s="3">
        <v>1039235.47318179</v>
      </c>
      <c r="G1300" s="1">
        <v>45046</v>
      </c>
      <c r="H1300" s="2">
        <v>45566</v>
      </c>
    </row>
    <row r="1301" spans="1:8" hidden="1" x14ac:dyDescent="0.45">
      <c r="A1301">
        <v>1299</v>
      </c>
      <c r="B1301" t="s">
        <v>8</v>
      </c>
      <c r="C1301" s="3">
        <v>1502608.18565587</v>
      </c>
      <c r="D1301" s="3"/>
      <c r="E1301" s="3">
        <v>885626.82076413801</v>
      </c>
      <c r="F1301" s="3">
        <v>2149067.0746049299</v>
      </c>
      <c r="G1301" s="1">
        <v>45046</v>
      </c>
      <c r="H1301" s="2">
        <v>45597</v>
      </c>
    </row>
    <row r="1302" spans="1:8" hidden="1" x14ac:dyDescent="0.45">
      <c r="A1302">
        <v>1300</v>
      </c>
      <c r="B1302" t="s">
        <v>8</v>
      </c>
      <c r="C1302" s="3">
        <v>398423.60146548698</v>
      </c>
      <c r="D1302" s="3"/>
      <c r="E1302" s="3">
        <v>191897.20395374301</v>
      </c>
      <c r="F1302" s="3">
        <v>641136.82631729206</v>
      </c>
      <c r="G1302" s="1">
        <v>45046</v>
      </c>
      <c r="H1302" s="2">
        <v>45627</v>
      </c>
    </row>
    <row r="1303" spans="1:8" hidden="1" x14ac:dyDescent="0.45">
      <c r="A1303">
        <v>1301</v>
      </c>
      <c r="B1303" t="s">
        <v>8</v>
      </c>
      <c r="C1303" s="3">
        <v>774833.99231945595</v>
      </c>
      <c r="D1303" s="3"/>
      <c r="E1303" s="3">
        <v>416753.46395061997</v>
      </c>
      <c r="F1303" s="3">
        <v>1171184.2522082201</v>
      </c>
      <c r="G1303" s="1">
        <v>45046</v>
      </c>
      <c r="H1303" s="2">
        <v>45658</v>
      </c>
    </row>
    <row r="1304" spans="1:8" hidden="1" x14ac:dyDescent="0.45">
      <c r="A1304">
        <v>1302</v>
      </c>
      <c r="B1304" t="s">
        <v>8</v>
      </c>
      <c r="C1304" s="3">
        <v>622364.01117819897</v>
      </c>
      <c r="D1304" s="3"/>
      <c r="E1304" s="3">
        <v>341801.53886399203</v>
      </c>
      <c r="F1304" s="3">
        <v>939477.00601978996</v>
      </c>
      <c r="G1304" s="1">
        <v>45046</v>
      </c>
      <c r="H1304" s="2">
        <v>45689</v>
      </c>
    </row>
    <row r="1305" spans="1:8" hidden="1" x14ac:dyDescent="0.45">
      <c r="A1305">
        <v>1303</v>
      </c>
      <c r="B1305" t="s">
        <v>8</v>
      </c>
      <c r="C1305" s="3">
        <v>898077.55183052702</v>
      </c>
      <c r="D1305" s="3"/>
      <c r="E1305" s="3">
        <v>492531.312654006</v>
      </c>
      <c r="F1305" s="3">
        <v>1339207.4954250499</v>
      </c>
      <c r="G1305" s="1">
        <v>45046</v>
      </c>
      <c r="H1305" s="2">
        <v>45717</v>
      </c>
    </row>
    <row r="1306" spans="1:8" hidden="1" x14ac:dyDescent="0.45">
      <c r="A1306">
        <v>1304</v>
      </c>
      <c r="B1306" t="s">
        <v>8</v>
      </c>
      <c r="C1306" s="3">
        <v>471819.13290276902</v>
      </c>
      <c r="D1306" s="3"/>
      <c r="E1306" s="3">
        <v>239355.13226982599</v>
      </c>
      <c r="F1306" s="3">
        <v>731762.85934376705</v>
      </c>
      <c r="G1306" s="1">
        <v>45046</v>
      </c>
      <c r="H1306" s="2">
        <v>45748</v>
      </c>
    </row>
    <row r="1307" spans="1:8" hidden="1" x14ac:dyDescent="0.45">
      <c r="A1307">
        <v>1305</v>
      </c>
      <c r="B1307" t="s">
        <v>8</v>
      </c>
      <c r="C1307" s="3">
        <v>503903.189849719</v>
      </c>
      <c r="D1307" s="3"/>
      <c r="E1307" s="3">
        <v>235242.78029198901</v>
      </c>
      <c r="F1307" s="3">
        <v>806436.84055057296</v>
      </c>
      <c r="G1307" s="1">
        <v>45046</v>
      </c>
      <c r="H1307" s="2">
        <v>45778</v>
      </c>
    </row>
    <row r="1308" spans="1:8" hidden="1" x14ac:dyDescent="0.45">
      <c r="A1308">
        <v>1306</v>
      </c>
      <c r="B1308" t="s">
        <v>8</v>
      </c>
      <c r="C1308" s="3">
        <v>819696.54061116197</v>
      </c>
      <c r="D1308" s="3"/>
      <c r="E1308" s="3">
        <v>413996.10816728399</v>
      </c>
      <c r="F1308" s="3">
        <v>1270309.6885343799</v>
      </c>
      <c r="G1308" s="1">
        <v>45046</v>
      </c>
      <c r="H1308" s="2">
        <v>45809</v>
      </c>
    </row>
    <row r="1309" spans="1:8" hidden="1" x14ac:dyDescent="0.45">
      <c r="A1309">
        <v>1307</v>
      </c>
      <c r="B1309" t="s">
        <v>8</v>
      </c>
      <c r="C1309" s="3">
        <v>833434.80511147098</v>
      </c>
      <c r="D1309" s="3"/>
      <c r="E1309" s="3">
        <v>441557.59785519203</v>
      </c>
      <c r="F1309" s="3">
        <v>1277228.3355809499</v>
      </c>
      <c r="G1309" s="1">
        <v>45046</v>
      </c>
      <c r="H1309" s="2">
        <v>45839</v>
      </c>
    </row>
    <row r="1310" spans="1:8" hidden="1" x14ac:dyDescent="0.45">
      <c r="A1310">
        <v>1308</v>
      </c>
      <c r="B1310" t="s">
        <v>8</v>
      </c>
      <c r="C1310" s="3">
        <v>834042.74549458397</v>
      </c>
      <c r="D1310" s="3"/>
      <c r="E1310" s="3">
        <v>425574.21797646699</v>
      </c>
      <c r="F1310" s="3">
        <v>1283275.96668173</v>
      </c>
      <c r="G1310" s="1">
        <v>45046</v>
      </c>
      <c r="H1310" s="2">
        <v>45870</v>
      </c>
    </row>
    <row r="1311" spans="1:8" hidden="1" x14ac:dyDescent="0.45">
      <c r="A1311">
        <v>1309</v>
      </c>
      <c r="B1311" t="s">
        <v>8</v>
      </c>
      <c r="C1311" s="3">
        <v>748651.70494049101</v>
      </c>
      <c r="D1311" s="3"/>
      <c r="E1311" s="3">
        <v>391733.01487777499</v>
      </c>
      <c r="F1311" s="3">
        <v>1134259.03900451</v>
      </c>
      <c r="G1311" s="1">
        <v>45046</v>
      </c>
      <c r="H1311" s="2">
        <v>45901</v>
      </c>
    </row>
    <row r="1312" spans="1:8" hidden="1" x14ac:dyDescent="0.45">
      <c r="A1312">
        <v>1310</v>
      </c>
      <c r="B1312" t="s">
        <v>8</v>
      </c>
      <c r="C1312" s="3">
        <v>610116.99603526201</v>
      </c>
      <c r="D1312" s="3"/>
      <c r="E1312" s="3">
        <v>320842.74167725799</v>
      </c>
      <c r="F1312" s="3">
        <v>921680.40576896304</v>
      </c>
      <c r="G1312" s="1">
        <v>45046</v>
      </c>
      <c r="H1312" s="2">
        <v>45931</v>
      </c>
    </row>
    <row r="1313" spans="1:8" hidden="1" x14ac:dyDescent="0.45">
      <c r="A1313">
        <v>1311</v>
      </c>
      <c r="B1313" t="s">
        <v>7</v>
      </c>
      <c r="C1313" s="3">
        <v>139183.414965423</v>
      </c>
      <c r="D1313" s="3">
        <v>28250.62</v>
      </c>
      <c r="E1313" s="3">
        <v>82624.533400301894</v>
      </c>
      <c r="F1313" s="3">
        <v>199012.70653365299</v>
      </c>
      <c r="G1313" s="1">
        <v>45077</v>
      </c>
      <c r="H1313" s="2">
        <v>44228</v>
      </c>
    </row>
    <row r="1314" spans="1:8" hidden="1" x14ac:dyDescent="0.45">
      <c r="A1314">
        <v>1312</v>
      </c>
      <c r="B1314" t="s">
        <v>7</v>
      </c>
      <c r="C1314" s="3">
        <v>297021.91671467898</v>
      </c>
      <c r="D1314" s="3">
        <v>36247.919999999998</v>
      </c>
      <c r="E1314" s="3">
        <v>186234.506259719</v>
      </c>
      <c r="F1314" s="3">
        <v>407767.31816188799</v>
      </c>
      <c r="G1314" s="1">
        <v>45077</v>
      </c>
      <c r="H1314" s="2">
        <v>44256</v>
      </c>
    </row>
    <row r="1315" spans="1:8" hidden="1" x14ac:dyDescent="0.45">
      <c r="A1315">
        <v>1313</v>
      </c>
      <c r="B1315" t="s">
        <v>7</v>
      </c>
      <c r="C1315" s="3">
        <v>136932.24134240701</v>
      </c>
      <c r="D1315" s="3">
        <v>14721.48</v>
      </c>
      <c r="E1315" s="3">
        <v>66901.575721668807</v>
      </c>
      <c r="F1315" s="3">
        <v>210203.83237205699</v>
      </c>
      <c r="G1315" s="1">
        <v>45077</v>
      </c>
      <c r="H1315" s="2">
        <v>44287</v>
      </c>
    </row>
    <row r="1316" spans="1:8" hidden="1" x14ac:dyDescent="0.45">
      <c r="A1316">
        <v>1314</v>
      </c>
      <c r="B1316" t="s">
        <v>7</v>
      </c>
      <c r="C1316" s="3">
        <v>215361.95245852901</v>
      </c>
      <c r="D1316" s="3">
        <v>94346.71</v>
      </c>
      <c r="E1316" s="3">
        <v>123624.26605765399</v>
      </c>
      <c r="F1316" s="3">
        <v>316424.13819406403</v>
      </c>
      <c r="G1316" s="1">
        <v>45077</v>
      </c>
      <c r="H1316" s="2">
        <v>44317</v>
      </c>
    </row>
    <row r="1317" spans="1:8" hidden="1" x14ac:dyDescent="0.45">
      <c r="A1317">
        <v>1315</v>
      </c>
      <c r="B1317" t="s">
        <v>7</v>
      </c>
      <c r="C1317" s="3">
        <v>500929.36197864002</v>
      </c>
      <c r="D1317" s="3">
        <v>970740.72</v>
      </c>
      <c r="E1317" s="3">
        <v>312317.58850963</v>
      </c>
      <c r="F1317" s="3">
        <v>689629.11299638695</v>
      </c>
      <c r="G1317" s="1">
        <v>45077</v>
      </c>
      <c r="H1317" s="2">
        <v>44348</v>
      </c>
    </row>
    <row r="1318" spans="1:8" hidden="1" x14ac:dyDescent="0.45">
      <c r="A1318">
        <v>1316</v>
      </c>
      <c r="B1318" t="s">
        <v>7</v>
      </c>
      <c r="C1318" s="3">
        <v>1086122.4111590199</v>
      </c>
      <c r="D1318" s="3">
        <v>1798271.24</v>
      </c>
      <c r="E1318" s="3">
        <v>742815.54459422897</v>
      </c>
      <c r="F1318" s="3">
        <v>1437485.4726222199</v>
      </c>
      <c r="G1318" s="1">
        <v>45077</v>
      </c>
      <c r="H1318" s="2">
        <v>44378</v>
      </c>
    </row>
    <row r="1319" spans="1:8" hidden="1" x14ac:dyDescent="0.45">
      <c r="A1319">
        <v>1317</v>
      </c>
      <c r="B1319" t="s">
        <v>7</v>
      </c>
      <c r="C1319" s="3">
        <v>1096561.56574699</v>
      </c>
      <c r="D1319" s="3">
        <v>700449.31</v>
      </c>
      <c r="E1319" s="3">
        <v>722943.44022124505</v>
      </c>
      <c r="F1319" s="3">
        <v>1490114.72128645</v>
      </c>
      <c r="G1319" s="1">
        <v>45077</v>
      </c>
      <c r="H1319" s="2">
        <v>44409</v>
      </c>
    </row>
    <row r="1320" spans="1:8" hidden="1" x14ac:dyDescent="0.45">
      <c r="A1320">
        <v>1318</v>
      </c>
      <c r="B1320" t="s">
        <v>7</v>
      </c>
      <c r="C1320" s="3">
        <v>1159809.90374999</v>
      </c>
      <c r="D1320" s="3">
        <v>1784906.52</v>
      </c>
      <c r="E1320" s="3">
        <v>755199.46886205301</v>
      </c>
      <c r="F1320" s="3">
        <v>1598172.25743638</v>
      </c>
      <c r="G1320" s="1">
        <v>45077</v>
      </c>
      <c r="H1320" s="2">
        <v>44440</v>
      </c>
    </row>
    <row r="1321" spans="1:8" hidden="1" x14ac:dyDescent="0.45">
      <c r="A1321">
        <v>1319</v>
      </c>
      <c r="B1321" t="s">
        <v>7</v>
      </c>
      <c r="C1321" s="3">
        <v>974073.299678921</v>
      </c>
      <c r="D1321" s="3">
        <v>706422.77</v>
      </c>
      <c r="E1321" s="3">
        <v>610434.356541391</v>
      </c>
      <c r="F1321" s="3">
        <v>1359034.0480490101</v>
      </c>
      <c r="G1321" s="1">
        <v>45077</v>
      </c>
      <c r="H1321" s="2">
        <v>44470</v>
      </c>
    </row>
    <row r="1322" spans="1:8" hidden="1" x14ac:dyDescent="0.45">
      <c r="A1322">
        <v>1320</v>
      </c>
      <c r="B1322" t="s">
        <v>7</v>
      </c>
      <c r="C1322" s="3">
        <v>2208657.5949132801</v>
      </c>
      <c r="D1322" s="3">
        <v>3115611.92</v>
      </c>
      <c r="E1322" s="3">
        <v>1563530.4437539901</v>
      </c>
      <c r="F1322" s="3">
        <v>2859413.8935763701</v>
      </c>
      <c r="G1322" s="1">
        <v>45077</v>
      </c>
      <c r="H1322" s="2">
        <v>44501</v>
      </c>
    </row>
    <row r="1323" spans="1:8" hidden="1" x14ac:dyDescent="0.45">
      <c r="A1323">
        <v>1321</v>
      </c>
      <c r="B1323" t="s">
        <v>7</v>
      </c>
      <c r="C1323" s="3">
        <v>673270.77537562302</v>
      </c>
      <c r="D1323" s="3">
        <v>227049.91</v>
      </c>
      <c r="E1323" s="3">
        <v>367611.62294313399</v>
      </c>
      <c r="F1323" s="3">
        <v>1013621.15013787</v>
      </c>
      <c r="G1323" s="1">
        <v>45077</v>
      </c>
      <c r="H1323" s="2">
        <v>44531</v>
      </c>
    </row>
    <row r="1324" spans="1:8" hidden="1" x14ac:dyDescent="0.45">
      <c r="A1324">
        <v>1322</v>
      </c>
      <c r="B1324" t="s">
        <v>7</v>
      </c>
      <c r="C1324" s="3">
        <v>1272629.7735394</v>
      </c>
      <c r="D1324" s="3">
        <v>1231496.1499999999</v>
      </c>
      <c r="E1324" s="3">
        <v>786701.87802749895</v>
      </c>
      <c r="F1324" s="3">
        <v>1787241.69536019</v>
      </c>
      <c r="G1324" s="1">
        <v>45077</v>
      </c>
      <c r="H1324" s="2">
        <v>44562</v>
      </c>
    </row>
    <row r="1325" spans="1:8" hidden="1" x14ac:dyDescent="0.45">
      <c r="A1325">
        <v>1323</v>
      </c>
      <c r="B1325" t="s">
        <v>7</v>
      </c>
      <c r="C1325" s="3">
        <v>1013460.99246073</v>
      </c>
      <c r="D1325" s="3">
        <v>1031231.86</v>
      </c>
      <c r="E1325" s="3">
        <v>606026.255265438</v>
      </c>
      <c r="F1325" s="3">
        <v>1445308.07081064</v>
      </c>
      <c r="G1325" s="1">
        <v>45077</v>
      </c>
      <c r="H1325" s="2">
        <v>44593</v>
      </c>
    </row>
    <row r="1326" spans="1:8" hidden="1" x14ac:dyDescent="0.45">
      <c r="A1326">
        <v>1324</v>
      </c>
      <c r="B1326" t="s">
        <v>7</v>
      </c>
      <c r="C1326" s="3">
        <v>1782162.8111072099</v>
      </c>
      <c r="D1326" s="3">
        <v>2866780.02</v>
      </c>
      <c r="E1326" s="3">
        <v>1170284.9202256899</v>
      </c>
      <c r="F1326" s="3">
        <v>2445133.81657016</v>
      </c>
      <c r="G1326" s="1">
        <v>45077</v>
      </c>
      <c r="H1326" s="2">
        <v>44621</v>
      </c>
    </row>
    <row r="1327" spans="1:8" hidden="1" x14ac:dyDescent="0.45">
      <c r="A1327">
        <v>1325</v>
      </c>
      <c r="B1327" t="s">
        <v>7</v>
      </c>
      <c r="C1327" s="3">
        <v>739437.34761402698</v>
      </c>
      <c r="D1327" s="3">
        <v>106305.83</v>
      </c>
      <c r="E1327" s="3">
        <v>401972.93557990302</v>
      </c>
      <c r="F1327" s="3">
        <v>1104691.42913571</v>
      </c>
      <c r="G1327" s="1">
        <v>45077</v>
      </c>
      <c r="H1327" s="2">
        <v>44652</v>
      </c>
    </row>
    <row r="1328" spans="1:8" hidden="1" x14ac:dyDescent="0.45">
      <c r="A1328">
        <v>1326</v>
      </c>
      <c r="B1328" t="s">
        <v>7</v>
      </c>
      <c r="C1328" s="3">
        <v>1024305.86789031</v>
      </c>
      <c r="D1328" s="3">
        <v>667164.73</v>
      </c>
      <c r="E1328" s="3">
        <v>615606.65635430603</v>
      </c>
      <c r="F1328" s="3">
        <v>1482991.20654442</v>
      </c>
      <c r="G1328" s="1">
        <v>45077</v>
      </c>
      <c r="H1328" s="2">
        <v>44682</v>
      </c>
    </row>
    <row r="1329" spans="1:8" hidden="1" x14ac:dyDescent="0.45">
      <c r="A1329">
        <v>1327</v>
      </c>
      <c r="B1329" t="s">
        <v>7</v>
      </c>
      <c r="C1329" s="3">
        <v>1367259.0512679201</v>
      </c>
      <c r="D1329" s="3">
        <v>1398761.09</v>
      </c>
      <c r="E1329" s="3">
        <v>814196.74861191795</v>
      </c>
      <c r="F1329" s="3">
        <v>1990773.94497673</v>
      </c>
      <c r="G1329" s="1">
        <v>45077</v>
      </c>
      <c r="H1329" s="2">
        <v>44713</v>
      </c>
    </row>
    <row r="1330" spans="1:8" hidden="1" x14ac:dyDescent="0.45">
      <c r="A1330">
        <v>1328</v>
      </c>
      <c r="B1330" t="s">
        <v>7</v>
      </c>
      <c r="C1330" s="3">
        <v>1396335.82566667</v>
      </c>
      <c r="D1330" s="3">
        <v>931475.54</v>
      </c>
      <c r="E1330" s="3">
        <v>848637.61990382499</v>
      </c>
      <c r="F1330" s="3">
        <v>1999407.1667986801</v>
      </c>
      <c r="G1330" s="1">
        <v>45077</v>
      </c>
      <c r="H1330" s="2">
        <v>44743</v>
      </c>
    </row>
    <row r="1331" spans="1:8" hidden="1" x14ac:dyDescent="0.45">
      <c r="A1331">
        <v>1329</v>
      </c>
      <c r="B1331" t="s">
        <v>7</v>
      </c>
      <c r="C1331" s="3">
        <v>1298719.2994975799</v>
      </c>
      <c r="D1331" s="3">
        <v>1335916.6499999999</v>
      </c>
      <c r="E1331" s="3">
        <v>797110.36712031602</v>
      </c>
      <c r="F1331" s="3">
        <v>1830420.36116272</v>
      </c>
      <c r="G1331" s="1">
        <v>45077</v>
      </c>
      <c r="H1331" s="2">
        <v>44774</v>
      </c>
    </row>
    <row r="1332" spans="1:8" hidden="1" x14ac:dyDescent="0.45">
      <c r="A1332">
        <v>1330</v>
      </c>
      <c r="B1332" t="s">
        <v>7</v>
      </c>
      <c r="C1332" s="3">
        <v>1179469.76963002</v>
      </c>
      <c r="D1332" s="3">
        <v>976647.27</v>
      </c>
      <c r="E1332" s="3">
        <v>698911.94288761995</v>
      </c>
      <c r="F1332" s="3">
        <v>1707125.64706767</v>
      </c>
      <c r="G1332" s="1">
        <v>45077</v>
      </c>
      <c r="H1332" s="2">
        <v>44805</v>
      </c>
    </row>
    <row r="1333" spans="1:8" hidden="1" x14ac:dyDescent="0.45">
      <c r="A1333">
        <v>1331</v>
      </c>
      <c r="B1333" t="s">
        <v>7</v>
      </c>
      <c r="C1333" s="3">
        <v>983315.89244314295</v>
      </c>
      <c r="D1333" s="3">
        <v>975982.86</v>
      </c>
      <c r="E1333" s="3">
        <v>556248.82693996304</v>
      </c>
      <c r="F1333" s="3">
        <v>1444478.33968594</v>
      </c>
      <c r="G1333" s="1">
        <v>45077</v>
      </c>
      <c r="H1333" s="2">
        <v>44835</v>
      </c>
    </row>
    <row r="1334" spans="1:8" hidden="1" x14ac:dyDescent="0.45">
      <c r="A1334">
        <v>1332</v>
      </c>
      <c r="B1334" t="s">
        <v>7</v>
      </c>
      <c r="C1334" s="3">
        <v>2192575.1850447799</v>
      </c>
      <c r="D1334" s="3">
        <v>2010415.16</v>
      </c>
      <c r="E1334" s="3">
        <v>1440478.3718570501</v>
      </c>
      <c r="F1334" s="3">
        <v>2971341.1606812999</v>
      </c>
      <c r="G1334" s="1">
        <v>45077</v>
      </c>
      <c r="H1334" s="2">
        <v>44866</v>
      </c>
    </row>
    <row r="1335" spans="1:8" hidden="1" x14ac:dyDescent="0.45">
      <c r="A1335">
        <v>1333</v>
      </c>
      <c r="B1335" t="s">
        <v>7</v>
      </c>
      <c r="C1335" s="3">
        <v>576451.14247722004</v>
      </c>
      <c r="D1335" s="3">
        <v>348929.42</v>
      </c>
      <c r="E1335" s="3">
        <v>289081.12950066599</v>
      </c>
      <c r="F1335" s="3">
        <v>891407.968007277</v>
      </c>
      <c r="G1335" s="1">
        <v>45077</v>
      </c>
      <c r="H1335" s="2">
        <v>44896</v>
      </c>
    </row>
    <row r="1336" spans="1:8" hidden="1" x14ac:dyDescent="0.45">
      <c r="A1336">
        <v>1334</v>
      </c>
      <c r="B1336" t="s">
        <v>7</v>
      </c>
      <c r="C1336" s="3">
        <v>1119170.16782293</v>
      </c>
      <c r="D1336" s="3">
        <v>1096298.6399999999</v>
      </c>
      <c r="E1336" s="3">
        <v>667890.75425421202</v>
      </c>
      <c r="F1336" s="3">
        <v>1628784.9496960801</v>
      </c>
      <c r="G1336" s="1">
        <v>45077</v>
      </c>
      <c r="H1336" s="2">
        <v>44927</v>
      </c>
    </row>
    <row r="1337" spans="1:8" hidden="1" x14ac:dyDescent="0.45">
      <c r="A1337">
        <v>1335</v>
      </c>
      <c r="B1337" t="s">
        <v>7</v>
      </c>
      <c r="C1337" s="3">
        <v>897822.76966760296</v>
      </c>
      <c r="D1337" s="3">
        <v>1036928.47</v>
      </c>
      <c r="E1337" s="3">
        <v>518448.85636760597</v>
      </c>
      <c r="F1337" s="3">
        <v>1318979.59694789</v>
      </c>
      <c r="G1337" s="1">
        <v>45077</v>
      </c>
      <c r="H1337" s="2">
        <v>44958</v>
      </c>
    </row>
    <row r="1338" spans="1:8" hidden="1" x14ac:dyDescent="0.45">
      <c r="A1338">
        <v>1336</v>
      </c>
      <c r="B1338" t="s">
        <v>7</v>
      </c>
      <c r="C1338" s="3">
        <v>1387345.9321055899</v>
      </c>
      <c r="D1338" s="3">
        <v>660363.89</v>
      </c>
      <c r="E1338" s="3">
        <v>852981.78884310904</v>
      </c>
      <c r="F1338" s="3">
        <v>1960177.97169317</v>
      </c>
      <c r="G1338" s="1">
        <v>45077</v>
      </c>
      <c r="H1338" s="2">
        <v>44986</v>
      </c>
    </row>
    <row r="1339" spans="1:8" hidden="1" x14ac:dyDescent="0.45">
      <c r="A1339">
        <v>1337</v>
      </c>
      <c r="B1339" t="s">
        <v>7</v>
      </c>
      <c r="C1339" s="3">
        <v>633852.25571424398</v>
      </c>
      <c r="D1339" s="3">
        <v>1093282.48</v>
      </c>
      <c r="E1339" s="3">
        <v>336256.66355867899</v>
      </c>
      <c r="F1339" s="3">
        <v>966554.97995008202</v>
      </c>
      <c r="G1339" s="1">
        <v>45077</v>
      </c>
      <c r="H1339" s="2">
        <v>45017</v>
      </c>
    </row>
    <row r="1340" spans="1:8" hidden="1" x14ac:dyDescent="0.45">
      <c r="A1340">
        <v>1338</v>
      </c>
      <c r="B1340" t="s">
        <v>7</v>
      </c>
      <c r="C1340" s="3">
        <v>903993.509766198</v>
      </c>
      <c r="D1340" s="3">
        <v>1212297.6200000001</v>
      </c>
      <c r="E1340" s="3">
        <v>523174.39734728303</v>
      </c>
      <c r="F1340" s="3">
        <v>1321316.6889605799</v>
      </c>
      <c r="G1340" s="1">
        <v>45077</v>
      </c>
      <c r="H1340" s="2">
        <v>45047</v>
      </c>
    </row>
    <row r="1341" spans="1:8" hidden="1" x14ac:dyDescent="0.45">
      <c r="A1341">
        <v>1339</v>
      </c>
      <c r="B1341" t="s">
        <v>8</v>
      </c>
      <c r="C1341" s="3">
        <v>1179528.12227938</v>
      </c>
      <c r="D1341" s="3">
        <v>1005275.8</v>
      </c>
      <c r="E1341" s="3">
        <v>645310.65416202799</v>
      </c>
      <c r="F1341" s="3">
        <v>1767609.7665001701</v>
      </c>
      <c r="G1341" s="1">
        <v>45077</v>
      </c>
      <c r="H1341" s="2">
        <v>45078</v>
      </c>
    </row>
    <row r="1342" spans="1:8" hidden="1" x14ac:dyDescent="0.45">
      <c r="A1342">
        <v>1340</v>
      </c>
      <c r="B1342" t="s">
        <v>8</v>
      </c>
      <c r="C1342" s="3">
        <v>1188531.3803588499</v>
      </c>
      <c r="D1342" s="3">
        <v>1014030.05</v>
      </c>
      <c r="E1342" s="3">
        <v>659055.76743840601</v>
      </c>
      <c r="F1342" s="3">
        <v>1783723.2632017699</v>
      </c>
      <c r="G1342" s="1">
        <v>45077</v>
      </c>
      <c r="H1342" s="2">
        <v>45108</v>
      </c>
    </row>
    <row r="1343" spans="1:8" hidden="1" x14ac:dyDescent="0.45">
      <c r="A1343">
        <v>1341</v>
      </c>
      <c r="B1343" t="s">
        <v>8</v>
      </c>
      <c r="C1343" s="3">
        <v>1167409.4127334501</v>
      </c>
      <c r="D1343" s="3">
        <v>1032347.77</v>
      </c>
      <c r="E1343" s="3">
        <v>657944.58567954099</v>
      </c>
      <c r="F1343" s="3">
        <v>1699431.5020359401</v>
      </c>
      <c r="G1343" s="1">
        <v>45077</v>
      </c>
      <c r="H1343" s="2">
        <v>45139</v>
      </c>
    </row>
    <row r="1344" spans="1:8" hidden="1" x14ac:dyDescent="0.45">
      <c r="A1344">
        <v>1342</v>
      </c>
      <c r="B1344" t="s">
        <v>8</v>
      </c>
      <c r="C1344" s="3">
        <v>1036172.05362916</v>
      </c>
      <c r="D1344" s="3">
        <v>1134668.77</v>
      </c>
      <c r="E1344" s="3">
        <v>562586.28169491305</v>
      </c>
      <c r="F1344" s="3">
        <v>1556026.0340766299</v>
      </c>
      <c r="G1344" s="1">
        <v>45077</v>
      </c>
      <c r="H1344" s="2">
        <v>45170</v>
      </c>
    </row>
    <row r="1345" spans="1:8" hidden="1" x14ac:dyDescent="0.45">
      <c r="A1345">
        <v>1343</v>
      </c>
      <c r="B1345" t="s">
        <v>8</v>
      </c>
      <c r="C1345" s="3">
        <v>867954.58141644299</v>
      </c>
      <c r="D1345" s="3">
        <v>1001032.02</v>
      </c>
      <c r="E1345" s="3">
        <v>452551.55984077201</v>
      </c>
      <c r="F1345" s="3">
        <v>1313661.1232928501</v>
      </c>
      <c r="G1345" s="1">
        <v>45077</v>
      </c>
      <c r="H1345" s="2">
        <v>45200</v>
      </c>
    </row>
    <row r="1346" spans="1:8" hidden="1" x14ac:dyDescent="0.45">
      <c r="A1346">
        <v>1344</v>
      </c>
      <c r="B1346" t="s">
        <v>8</v>
      </c>
      <c r="C1346" s="3">
        <v>1880441.5650708501</v>
      </c>
      <c r="D1346" s="3">
        <v>1674217</v>
      </c>
      <c r="E1346" s="3">
        <v>1133077.7656693901</v>
      </c>
      <c r="F1346" s="3">
        <v>2664991.2697844198</v>
      </c>
      <c r="G1346" s="1">
        <v>45077</v>
      </c>
      <c r="H1346" s="2">
        <v>45231</v>
      </c>
    </row>
    <row r="1347" spans="1:8" hidden="1" x14ac:dyDescent="0.45">
      <c r="A1347">
        <v>1345</v>
      </c>
      <c r="B1347" t="s">
        <v>8</v>
      </c>
      <c r="C1347" s="3">
        <v>490595.54184590798</v>
      </c>
      <c r="D1347" s="3">
        <v>721053.679999999</v>
      </c>
      <c r="E1347" s="3">
        <v>238272.97560567301</v>
      </c>
      <c r="F1347" s="3">
        <v>770880.40680223797</v>
      </c>
      <c r="G1347" s="1">
        <v>45077</v>
      </c>
      <c r="H1347" s="2">
        <v>45261</v>
      </c>
    </row>
    <row r="1348" spans="1:8" hidden="1" x14ac:dyDescent="0.45">
      <c r="A1348">
        <v>1346</v>
      </c>
      <c r="B1348" t="s">
        <v>8</v>
      </c>
      <c r="C1348" s="3">
        <v>970104.57776514196</v>
      </c>
      <c r="D1348" s="3">
        <v>1107862.6100000001</v>
      </c>
      <c r="E1348" s="3">
        <v>537508.396558312</v>
      </c>
      <c r="F1348" s="3">
        <v>1444284.38390737</v>
      </c>
      <c r="G1348" s="1">
        <v>45077</v>
      </c>
      <c r="H1348" s="2">
        <v>45292</v>
      </c>
    </row>
    <row r="1349" spans="1:8" hidden="1" x14ac:dyDescent="0.45">
      <c r="A1349">
        <v>1347</v>
      </c>
      <c r="B1349" t="s">
        <v>8</v>
      </c>
      <c r="C1349" s="3">
        <v>773959.57494886697</v>
      </c>
      <c r="D1349" s="3">
        <v>748754.64</v>
      </c>
      <c r="E1349" s="3">
        <v>425942.99381495302</v>
      </c>
      <c r="F1349" s="3">
        <v>1167252.0252161401</v>
      </c>
      <c r="G1349" s="1">
        <v>45077</v>
      </c>
      <c r="H1349" s="2">
        <v>45323</v>
      </c>
    </row>
    <row r="1350" spans="1:8" hidden="1" x14ac:dyDescent="0.45">
      <c r="A1350">
        <v>1348</v>
      </c>
      <c r="B1350" t="s">
        <v>8</v>
      </c>
      <c r="C1350" s="3">
        <v>1131653.47587482</v>
      </c>
      <c r="D1350" s="3">
        <v>752879.82</v>
      </c>
      <c r="E1350" s="3">
        <v>662219.40312427399</v>
      </c>
      <c r="F1350" s="3">
        <v>1656889.9937968201</v>
      </c>
      <c r="G1350" s="1">
        <v>45077</v>
      </c>
      <c r="H1350" s="2">
        <v>45352</v>
      </c>
    </row>
    <row r="1351" spans="1:8" hidden="1" x14ac:dyDescent="0.45">
      <c r="A1351">
        <v>1349</v>
      </c>
      <c r="B1351" t="s">
        <v>8</v>
      </c>
      <c r="C1351" s="3">
        <v>550817.55261536397</v>
      </c>
      <c r="D1351" s="3">
        <v>1150872.5</v>
      </c>
      <c r="E1351" s="3">
        <v>282813.51660775999</v>
      </c>
      <c r="F1351" s="3">
        <v>853270.15543397004</v>
      </c>
      <c r="G1351" s="1">
        <v>45077</v>
      </c>
      <c r="H1351" s="2">
        <v>45383</v>
      </c>
    </row>
    <row r="1352" spans="1:8" hidden="1" x14ac:dyDescent="0.45">
      <c r="A1352">
        <v>1350</v>
      </c>
      <c r="B1352" t="s">
        <v>8</v>
      </c>
      <c r="C1352" s="3">
        <v>760960.93703416397</v>
      </c>
      <c r="D1352" s="3">
        <v>630246.37</v>
      </c>
      <c r="E1352" s="3">
        <v>421451.21945652802</v>
      </c>
      <c r="F1352" s="3">
        <v>1130765.0566746499</v>
      </c>
      <c r="G1352" s="1">
        <v>45077</v>
      </c>
      <c r="H1352" s="2">
        <v>45413</v>
      </c>
    </row>
    <row r="1353" spans="1:8" hidden="1" x14ac:dyDescent="0.45">
      <c r="A1353">
        <v>1351</v>
      </c>
      <c r="B1353" t="s">
        <v>8</v>
      </c>
      <c r="C1353" s="3">
        <v>1009743.83788197</v>
      </c>
      <c r="D1353" s="3">
        <v>651355.27</v>
      </c>
      <c r="E1353" s="3">
        <v>537698.14514192101</v>
      </c>
      <c r="F1353" s="3">
        <v>1523008.4426226399</v>
      </c>
      <c r="G1353" s="1">
        <v>45077</v>
      </c>
      <c r="H1353" s="2">
        <v>45444</v>
      </c>
    </row>
    <row r="1354" spans="1:8" hidden="1" x14ac:dyDescent="0.45">
      <c r="A1354">
        <v>1352</v>
      </c>
      <c r="B1354" t="s">
        <v>8</v>
      </c>
      <c r="C1354" s="3">
        <v>1019990.40140748</v>
      </c>
      <c r="D1354" s="3">
        <v>712615.55</v>
      </c>
      <c r="E1354" s="3">
        <v>550301.58291180094</v>
      </c>
      <c r="F1354" s="3">
        <v>1553112.8546360801</v>
      </c>
      <c r="G1354" s="1">
        <v>45077</v>
      </c>
      <c r="H1354" s="2">
        <v>45474</v>
      </c>
    </row>
    <row r="1355" spans="1:8" hidden="1" x14ac:dyDescent="0.45">
      <c r="A1355">
        <v>1353</v>
      </c>
      <c r="B1355" t="s">
        <v>8</v>
      </c>
      <c r="C1355" s="3">
        <v>1019459.39056501</v>
      </c>
      <c r="D1355" s="3">
        <v>675746.32</v>
      </c>
      <c r="E1355" s="3">
        <v>574571.65769401996</v>
      </c>
      <c r="F1355" s="3">
        <v>1508887.8127556001</v>
      </c>
      <c r="G1355" s="1">
        <v>45077</v>
      </c>
      <c r="H1355" s="2">
        <v>45505</v>
      </c>
    </row>
    <row r="1356" spans="1:8" hidden="1" x14ac:dyDescent="0.45">
      <c r="A1356">
        <v>1354</v>
      </c>
      <c r="B1356" t="s">
        <v>8</v>
      </c>
      <c r="C1356" s="3">
        <v>912229.92086763005</v>
      </c>
      <c r="D1356" s="3">
        <v>1222313.3299999901</v>
      </c>
      <c r="E1356" s="3">
        <v>483846.50509408198</v>
      </c>
      <c r="F1356" s="3">
        <v>1385118.33911416</v>
      </c>
      <c r="G1356" s="1">
        <v>45077</v>
      </c>
      <c r="H1356" s="2">
        <v>45536</v>
      </c>
    </row>
    <row r="1357" spans="1:8" hidden="1" x14ac:dyDescent="0.45">
      <c r="A1357">
        <v>1355</v>
      </c>
      <c r="B1357" t="s">
        <v>8</v>
      </c>
      <c r="C1357" s="3">
        <v>765365.97473027802</v>
      </c>
      <c r="D1357" s="3">
        <v>483334.92</v>
      </c>
      <c r="E1357" s="3">
        <v>397890.09274050302</v>
      </c>
      <c r="F1357" s="3">
        <v>1172027.2416512801</v>
      </c>
      <c r="G1357" s="1">
        <v>45077</v>
      </c>
      <c r="H1357" s="2">
        <v>45566</v>
      </c>
    </row>
    <row r="1358" spans="1:8" hidden="1" x14ac:dyDescent="0.45">
      <c r="A1358">
        <v>1356</v>
      </c>
      <c r="B1358" t="s">
        <v>8</v>
      </c>
      <c r="C1358" s="3">
        <v>1651364.8628621199</v>
      </c>
      <c r="D1358" s="3"/>
      <c r="E1358" s="3">
        <v>990982.58591228398</v>
      </c>
      <c r="F1358" s="3">
        <v>2366776.8165679998</v>
      </c>
      <c r="G1358" s="1">
        <v>45077</v>
      </c>
      <c r="H1358" s="2">
        <v>45597</v>
      </c>
    </row>
    <row r="1359" spans="1:8" hidden="1" x14ac:dyDescent="0.45">
      <c r="A1359">
        <v>1357</v>
      </c>
      <c r="B1359" t="s">
        <v>8</v>
      </c>
      <c r="C1359" s="3">
        <v>437897.34623965301</v>
      </c>
      <c r="D1359" s="3"/>
      <c r="E1359" s="3">
        <v>210274.82978941401</v>
      </c>
      <c r="F1359" s="3">
        <v>689475.58464033296</v>
      </c>
      <c r="G1359" s="1">
        <v>45077</v>
      </c>
      <c r="H1359" s="2">
        <v>45627</v>
      </c>
    </row>
    <row r="1360" spans="1:8" hidden="1" x14ac:dyDescent="0.45">
      <c r="A1360">
        <v>1358</v>
      </c>
      <c r="B1360" t="s">
        <v>8</v>
      </c>
      <c r="C1360" s="3">
        <v>867713.88516352803</v>
      </c>
      <c r="D1360" s="3"/>
      <c r="E1360" s="3">
        <v>482487.19679056801</v>
      </c>
      <c r="F1360" s="3">
        <v>1299840.6708342</v>
      </c>
      <c r="G1360" s="1">
        <v>45077</v>
      </c>
      <c r="H1360" s="2">
        <v>45658</v>
      </c>
    </row>
    <row r="1361" spans="1:8" hidden="1" x14ac:dyDescent="0.45">
      <c r="A1361">
        <v>1359</v>
      </c>
      <c r="B1361" t="s">
        <v>8</v>
      </c>
      <c r="C1361" s="3">
        <v>692692.03326702898</v>
      </c>
      <c r="D1361" s="3"/>
      <c r="E1361" s="3">
        <v>378688.872129175</v>
      </c>
      <c r="F1361" s="3">
        <v>1041187.18700702</v>
      </c>
      <c r="G1361" s="1">
        <v>45077</v>
      </c>
      <c r="H1361" s="2">
        <v>45689</v>
      </c>
    </row>
    <row r="1362" spans="1:8" hidden="1" x14ac:dyDescent="0.45">
      <c r="A1362">
        <v>1360</v>
      </c>
      <c r="B1362" t="s">
        <v>8</v>
      </c>
      <c r="C1362" s="3">
        <v>1009247.36824401</v>
      </c>
      <c r="D1362" s="3"/>
      <c r="E1362" s="3">
        <v>588739.403464676</v>
      </c>
      <c r="F1362" s="3">
        <v>1480355.02295701</v>
      </c>
      <c r="G1362" s="1">
        <v>45077</v>
      </c>
      <c r="H1362" s="2">
        <v>45717</v>
      </c>
    </row>
    <row r="1363" spans="1:8" hidden="1" x14ac:dyDescent="0.45">
      <c r="A1363">
        <v>1361</v>
      </c>
      <c r="B1363" t="s">
        <v>8</v>
      </c>
      <c r="C1363" s="3">
        <v>495364.75902220199</v>
      </c>
      <c r="D1363" s="3"/>
      <c r="E1363" s="3">
        <v>256135.900468662</v>
      </c>
      <c r="F1363" s="3">
        <v>766585.54334308195</v>
      </c>
      <c r="G1363" s="1">
        <v>45077</v>
      </c>
      <c r="H1363" s="2">
        <v>45748</v>
      </c>
    </row>
    <row r="1364" spans="1:8" hidden="1" x14ac:dyDescent="0.45">
      <c r="A1364">
        <v>1362</v>
      </c>
      <c r="B1364" t="s">
        <v>8</v>
      </c>
      <c r="C1364" s="3">
        <v>682150.47809542995</v>
      </c>
      <c r="D1364" s="3"/>
      <c r="E1364" s="3">
        <v>380949.87536011898</v>
      </c>
      <c r="F1364" s="3">
        <v>1019809.5649672</v>
      </c>
      <c r="G1364" s="1">
        <v>45077</v>
      </c>
      <c r="H1364" s="2">
        <v>45778</v>
      </c>
    </row>
    <row r="1365" spans="1:8" hidden="1" x14ac:dyDescent="0.45">
      <c r="A1365">
        <v>1363</v>
      </c>
      <c r="B1365" t="s">
        <v>8</v>
      </c>
      <c r="C1365" s="3">
        <v>909495.21968894894</v>
      </c>
      <c r="D1365" s="3"/>
      <c r="E1365" s="3">
        <v>490028.47086931998</v>
      </c>
      <c r="F1365" s="3">
        <v>1369962.3840751799</v>
      </c>
      <c r="G1365" s="1">
        <v>45077</v>
      </c>
      <c r="H1365" s="2">
        <v>45809</v>
      </c>
    </row>
    <row r="1366" spans="1:8" hidden="1" x14ac:dyDescent="0.45">
      <c r="A1366">
        <v>1364</v>
      </c>
      <c r="B1366" t="s">
        <v>8</v>
      </c>
      <c r="C1366" s="3">
        <v>919231.72198708495</v>
      </c>
      <c r="D1366" s="3"/>
      <c r="E1366" s="3">
        <v>502834.76608402701</v>
      </c>
      <c r="F1366" s="3">
        <v>1406270.1318109301</v>
      </c>
      <c r="G1366" s="1">
        <v>45077</v>
      </c>
      <c r="H1366" s="2">
        <v>45839</v>
      </c>
    </row>
    <row r="1367" spans="1:8" hidden="1" x14ac:dyDescent="0.45">
      <c r="A1367">
        <v>1365</v>
      </c>
      <c r="B1367" t="s">
        <v>8</v>
      </c>
      <c r="C1367" s="3">
        <v>914109.26499220997</v>
      </c>
      <c r="D1367" s="3"/>
      <c r="E1367" s="3">
        <v>510339.61551192502</v>
      </c>
      <c r="F1367" s="3">
        <v>1343811.53397142</v>
      </c>
      <c r="G1367" s="1">
        <v>45077</v>
      </c>
      <c r="H1367" s="2">
        <v>45870</v>
      </c>
    </row>
    <row r="1368" spans="1:8" hidden="1" x14ac:dyDescent="0.45">
      <c r="A1368">
        <v>1366</v>
      </c>
      <c r="B1368" t="s">
        <v>8</v>
      </c>
      <c r="C1368" s="3">
        <v>821756.89636520995</v>
      </c>
      <c r="D1368" s="3"/>
      <c r="E1368" s="3">
        <v>430922.90291270998</v>
      </c>
      <c r="F1368" s="3">
        <v>1241552.2196383099</v>
      </c>
      <c r="G1368" s="1">
        <v>45077</v>
      </c>
      <c r="H1368" s="2">
        <v>45901</v>
      </c>
    </row>
    <row r="1369" spans="1:8" hidden="1" x14ac:dyDescent="0.45">
      <c r="A1369">
        <v>1367</v>
      </c>
      <c r="B1369" t="s">
        <v>8</v>
      </c>
      <c r="C1369" s="3">
        <v>685773.97554355697</v>
      </c>
      <c r="D1369" s="3"/>
      <c r="E1369" s="3">
        <v>365454.55448195298</v>
      </c>
      <c r="F1369" s="3">
        <v>1055980.78921348</v>
      </c>
      <c r="G1369" s="1">
        <v>45077</v>
      </c>
      <c r="H1369" s="2">
        <v>45931</v>
      </c>
    </row>
    <row r="1370" spans="1:8" hidden="1" x14ac:dyDescent="0.45">
      <c r="A1370">
        <v>1368</v>
      </c>
      <c r="B1370" t="s">
        <v>7</v>
      </c>
      <c r="C1370" s="3">
        <v>142830.16805704101</v>
      </c>
      <c r="D1370" s="3">
        <v>28250.62</v>
      </c>
      <c r="E1370" s="3">
        <v>88122.217614209294</v>
      </c>
      <c r="F1370" s="3">
        <v>203978.08622810899</v>
      </c>
      <c r="G1370" s="1">
        <v>45107</v>
      </c>
      <c r="H1370" s="2">
        <v>44228</v>
      </c>
    </row>
    <row r="1371" spans="1:8" hidden="1" x14ac:dyDescent="0.45">
      <c r="A1371">
        <v>1369</v>
      </c>
      <c r="B1371" t="s">
        <v>7</v>
      </c>
      <c r="C1371" s="3">
        <v>302590.05790020397</v>
      </c>
      <c r="D1371" s="3">
        <v>36247.919999999998</v>
      </c>
      <c r="E1371" s="3">
        <v>204555.527973638</v>
      </c>
      <c r="F1371" s="3">
        <v>410626.97481130302</v>
      </c>
      <c r="G1371" s="1">
        <v>45107</v>
      </c>
      <c r="H1371" s="2">
        <v>44256</v>
      </c>
    </row>
    <row r="1372" spans="1:8" hidden="1" x14ac:dyDescent="0.45">
      <c r="A1372">
        <v>1370</v>
      </c>
      <c r="B1372" t="s">
        <v>7</v>
      </c>
      <c r="C1372" s="3">
        <v>140421.98082843001</v>
      </c>
      <c r="D1372" s="3">
        <v>14721.48</v>
      </c>
      <c r="E1372" s="3">
        <v>77306.302746305999</v>
      </c>
      <c r="F1372" s="3">
        <v>210783.76996591399</v>
      </c>
      <c r="G1372" s="1">
        <v>45107</v>
      </c>
      <c r="H1372" s="2">
        <v>44287</v>
      </c>
    </row>
    <row r="1373" spans="1:8" hidden="1" x14ac:dyDescent="0.45">
      <c r="A1373">
        <v>1371</v>
      </c>
      <c r="B1373" t="s">
        <v>7</v>
      </c>
      <c r="C1373" s="3">
        <v>216093.12865383</v>
      </c>
      <c r="D1373" s="3">
        <v>94346.71</v>
      </c>
      <c r="E1373" s="3">
        <v>133641.433103891</v>
      </c>
      <c r="F1373" s="3">
        <v>307510.468939143</v>
      </c>
      <c r="G1373" s="1">
        <v>45107</v>
      </c>
      <c r="H1373" s="2">
        <v>44317</v>
      </c>
    </row>
    <row r="1374" spans="1:8" hidden="1" x14ac:dyDescent="0.45">
      <c r="A1374">
        <v>1372</v>
      </c>
      <c r="B1374" t="s">
        <v>7</v>
      </c>
      <c r="C1374" s="3">
        <v>450395.98642890301</v>
      </c>
      <c r="D1374" s="3">
        <v>970740.72</v>
      </c>
      <c r="E1374" s="3">
        <v>279196.56064680102</v>
      </c>
      <c r="F1374" s="3">
        <v>615796.270568404</v>
      </c>
      <c r="G1374" s="1">
        <v>45107</v>
      </c>
      <c r="H1374" s="2">
        <v>44348</v>
      </c>
    </row>
    <row r="1375" spans="1:8" hidden="1" x14ac:dyDescent="0.45">
      <c r="A1375">
        <v>1373</v>
      </c>
      <c r="B1375" t="s">
        <v>7</v>
      </c>
      <c r="C1375" s="3">
        <v>1071059.05304165</v>
      </c>
      <c r="D1375" s="3">
        <v>1798271.24</v>
      </c>
      <c r="E1375" s="3">
        <v>728114.28431427095</v>
      </c>
      <c r="F1375" s="3">
        <v>1411178.8977965901</v>
      </c>
      <c r="G1375" s="1">
        <v>45107</v>
      </c>
      <c r="H1375" s="2">
        <v>44378</v>
      </c>
    </row>
    <row r="1376" spans="1:8" hidden="1" x14ac:dyDescent="0.45">
      <c r="A1376">
        <v>1374</v>
      </c>
      <c r="B1376" t="s">
        <v>7</v>
      </c>
      <c r="C1376" s="3">
        <v>1063655.0757067001</v>
      </c>
      <c r="D1376" s="3">
        <v>700449.31</v>
      </c>
      <c r="E1376" s="3">
        <v>689667.30340623599</v>
      </c>
      <c r="F1376" s="3">
        <v>1456489.36991524</v>
      </c>
      <c r="G1376" s="1">
        <v>45107</v>
      </c>
      <c r="H1376" s="2">
        <v>44409</v>
      </c>
    </row>
    <row r="1377" spans="1:8" hidden="1" x14ac:dyDescent="0.45">
      <c r="A1377">
        <v>1375</v>
      </c>
      <c r="B1377" t="s">
        <v>7</v>
      </c>
      <c r="C1377" s="3">
        <v>1131325.85541069</v>
      </c>
      <c r="D1377" s="3">
        <v>1784906.52</v>
      </c>
      <c r="E1377" s="3">
        <v>735012.07512555504</v>
      </c>
      <c r="F1377" s="3">
        <v>1553208.5033183999</v>
      </c>
      <c r="G1377" s="1">
        <v>45107</v>
      </c>
      <c r="H1377" s="2">
        <v>44440</v>
      </c>
    </row>
    <row r="1378" spans="1:8" hidden="1" x14ac:dyDescent="0.45">
      <c r="A1378">
        <v>1376</v>
      </c>
      <c r="B1378" t="s">
        <v>7</v>
      </c>
      <c r="C1378" s="3">
        <v>974331.68534798396</v>
      </c>
      <c r="D1378" s="3">
        <v>706422.77</v>
      </c>
      <c r="E1378" s="3">
        <v>602071.75836172095</v>
      </c>
      <c r="F1378" s="3">
        <v>1376668.1153394601</v>
      </c>
      <c r="G1378" s="1">
        <v>45107</v>
      </c>
      <c r="H1378" s="2">
        <v>44470</v>
      </c>
    </row>
    <row r="1379" spans="1:8" hidden="1" x14ac:dyDescent="0.45">
      <c r="A1379">
        <v>1377</v>
      </c>
      <c r="B1379" t="s">
        <v>7</v>
      </c>
      <c r="C1379" s="3">
        <v>2188738.20952234</v>
      </c>
      <c r="D1379" s="3">
        <v>3115611.92</v>
      </c>
      <c r="E1379" s="3">
        <v>1596361.5280288199</v>
      </c>
      <c r="F1379" s="3">
        <v>2809501.7966378699</v>
      </c>
      <c r="G1379" s="1">
        <v>45107</v>
      </c>
      <c r="H1379" s="2">
        <v>44501</v>
      </c>
    </row>
    <row r="1380" spans="1:8" hidden="1" x14ac:dyDescent="0.45">
      <c r="A1380">
        <v>1378</v>
      </c>
      <c r="B1380" t="s">
        <v>7</v>
      </c>
      <c r="C1380" s="3">
        <v>693544.15756432305</v>
      </c>
      <c r="D1380" s="3">
        <v>227049.91</v>
      </c>
      <c r="E1380" s="3">
        <v>381363.973218281</v>
      </c>
      <c r="F1380" s="3">
        <v>1037787.97332715</v>
      </c>
      <c r="G1380" s="1">
        <v>45107</v>
      </c>
      <c r="H1380" s="2">
        <v>44531</v>
      </c>
    </row>
    <row r="1381" spans="1:8" hidden="1" x14ac:dyDescent="0.45">
      <c r="A1381">
        <v>1379</v>
      </c>
      <c r="B1381" t="s">
        <v>7</v>
      </c>
      <c r="C1381" s="3">
        <v>1291839.74128822</v>
      </c>
      <c r="D1381" s="3">
        <v>1231496.1499999999</v>
      </c>
      <c r="E1381" s="3">
        <v>822700.84645821503</v>
      </c>
      <c r="F1381" s="3">
        <v>1782367.07401863</v>
      </c>
      <c r="G1381" s="1">
        <v>45107</v>
      </c>
      <c r="H1381" s="2">
        <v>44562</v>
      </c>
    </row>
    <row r="1382" spans="1:8" hidden="1" x14ac:dyDescent="0.45">
      <c r="A1382">
        <v>1380</v>
      </c>
      <c r="B1382" t="s">
        <v>7</v>
      </c>
      <c r="C1382" s="3">
        <v>1027417.54822031</v>
      </c>
      <c r="D1382" s="3">
        <v>1031231.86</v>
      </c>
      <c r="E1382" s="3">
        <v>628437.83364725497</v>
      </c>
      <c r="F1382" s="3">
        <v>1445398.6103465999</v>
      </c>
      <c r="G1382" s="1">
        <v>45107</v>
      </c>
      <c r="H1382" s="2">
        <v>44593</v>
      </c>
    </row>
    <row r="1383" spans="1:8" hidden="1" x14ac:dyDescent="0.45">
      <c r="A1383">
        <v>1381</v>
      </c>
      <c r="B1383" t="s">
        <v>7</v>
      </c>
      <c r="C1383" s="3">
        <v>1817857.3151868801</v>
      </c>
      <c r="D1383" s="3">
        <v>2866780.02</v>
      </c>
      <c r="E1383" s="3">
        <v>1197735.24164942</v>
      </c>
      <c r="F1383" s="3">
        <v>2487791.8865252002</v>
      </c>
      <c r="G1383" s="1">
        <v>45107</v>
      </c>
      <c r="H1383" s="2">
        <v>44621</v>
      </c>
    </row>
    <row r="1384" spans="1:8" hidden="1" x14ac:dyDescent="0.45">
      <c r="A1384">
        <v>1382</v>
      </c>
      <c r="B1384" t="s">
        <v>7</v>
      </c>
      <c r="C1384" s="3">
        <v>774297.61983341305</v>
      </c>
      <c r="D1384" s="3">
        <v>106305.83</v>
      </c>
      <c r="E1384" s="3">
        <v>426357.56606520101</v>
      </c>
      <c r="F1384" s="3">
        <v>1136129.3256227099</v>
      </c>
      <c r="G1384" s="1">
        <v>45107</v>
      </c>
      <c r="H1384" s="2">
        <v>44652</v>
      </c>
    </row>
    <row r="1385" spans="1:8" hidden="1" x14ac:dyDescent="0.45">
      <c r="A1385">
        <v>1383</v>
      </c>
      <c r="B1385" t="s">
        <v>7</v>
      </c>
      <c r="C1385" s="3">
        <v>1053564.2635303</v>
      </c>
      <c r="D1385" s="3">
        <v>667164.73</v>
      </c>
      <c r="E1385" s="3">
        <v>637010.75950051402</v>
      </c>
      <c r="F1385" s="3">
        <v>1508381.3109191901</v>
      </c>
      <c r="G1385" s="1">
        <v>45107</v>
      </c>
      <c r="H1385" s="2">
        <v>44682</v>
      </c>
    </row>
    <row r="1386" spans="1:8" hidden="1" x14ac:dyDescent="0.45">
      <c r="A1386">
        <v>1384</v>
      </c>
      <c r="B1386" t="s">
        <v>7</v>
      </c>
      <c r="C1386" s="3">
        <v>1213563.36619023</v>
      </c>
      <c r="D1386" s="3">
        <v>1398761.09</v>
      </c>
      <c r="E1386" s="3">
        <v>757431.58411176701</v>
      </c>
      <c r="F1386" s="3">
        <v>1713373.02322411</v>
      </c>
      <c r="G1386" s="1">
        <v>45107</v>
      </c>
      <c r="H1386" s="2">
        <v>44713</v>
      </c>
    </row>
    <row r="1387" spans="1:8" hidden="1" x14ac:dyDescent="0.45">
      <c r="A1387">
        <v>1385</v>
      </c>
      <c r="B1387" t="s">
        <v>7</v>
      </c>
      <c r="C1387" s="3">
        <v>1435523.4656175</v>
      </c>
      <c r="D1387" s="3">
        <v>931475.54</v>
      </c>
      <c r="E1387" s="3">
        <v>876287.41280162195</v>
      </c>
      <c r="F1387" s="3">
        <v>2026123.28380154</v>
      </c>
      <c r="G1387" s="1">
        <v>45107</v>
      </c>
      <c r="H1387" s="2">
        <v>44743</v>
      </c>
    </row>
    <row r="1388" spans="1:8" hidden="1" x14ac:dyDescent="0.45">
      <c r="A1388">
        <v>1386</v>
      </c>
      <c r="B1388" t="s">
        <v>7</v>
      </c>
      <c r="C1388" s="3">
        <v>1291009.40908702</v>
      </c>
      <c r="D1388" s="3">
        <v>1335916.6499999999</v>
      </c>
      <c r="E1388" s="3">
        <v>766449.49223795999</v>
      </c>
      <c r="F1388" s="3">
        <v>1841705.88186905</v>
      </c>
      <c r="G1388" s="1">
        <v>45107</v>
      </c>
      <c r="H1388" s="2">
        <v>44774</v>
      </c>
    </row>
    <row r="1389" spans="1:8" hidden="1" x14ac:dyDescent="0.45">
      <c r="A1389">
        <v>1387</v>
      </c>
      <c r="B1389" t="s">
        <v>7</v>
      </c>
      <c r="C1389" s="3">
        <v>1187422.20803108</v>
      </c>
      <c r="D1389" s="3">
        <v>976647.27</v>
      </c>
      <c r="E1389" s="3">
        <v>713417.15358161996</v>
      </c>
      <c r="F1389" s="3">
        <v>1693077.29294807</v>
      </c>
      <c r="G1389" s="1">
        <v>45107</v>
      </c>
      <c r="H1389" s="2">
        <v>44805</v>
      </c>
    </row>
    <row r="1390" spans="1:8" hidden="1" x14ac:dyDescent="0.45">
      <c r="A1390">
        <v>1388</v>
      </c>
      <c r="B1390" t="s">
        <v>7</v>
      </c>
      <c r="C1390" s="3">
        <v>1000022.03594595</v>
      </c>
      <c r="D1390" s="3">
        <v>975982.86</v>
      </c>
      <c r="E1390" s="3">
        <v>563445.65440528898</v>
      </c>
      <c r="F1390" s="3">
        <v>1463438.80213854</v>
      </c>
      <c r="G1390" s="1">
        <v>45107</v>
      </c>
      <c r="H1390" s="2">
        <v>44835</v>
      </c>
    </row>
    <row r="1391" spans="1:8" hidden="1" x14ac:dyDescent="0.45">
      <c r="A1391">
        <v>1389</v>
      </c>
      <c r="B1391" t="s">
        <v>7</v>
      </c>
      <c r="C1391" s="3">
        <v>2190255.4304080298</v>
      </c>
      <c r="D1391" s="3">
        <v>2010415.16</v>
      </c>
      <c r="E1391" s="3">
        <v>1459887.24615256</v>
      </c>
      <c r="F1391" s="3">
        <v>2975789.4984377101</v>
      </c>
      <c r="G1391" s="1">
        <v>45107</v>
      </c>
      <c r="H1391" s="2">
        <v>44866</v>
      </c>
    </row>
    <row r="1392" spans="1:8" hidden="1" x14ac:dyDescent="0.45">
      <c r="A1392">
        <v>1390</v>
      </c>
      <c r="B1392" t="s">
        <v>7</v>
      </c>
      <c r="C1392" s="3">
        <v>609532.49029446603</v>
      </c>
      <c r="D1392" s="3">
        <v>348929.42</v>
      </c>
      <c r="E1392" s="3">
        <v>321784.02706979902</v>
      </c>
      <c r="F1392" s="3">
        <v>927804.09398120502</v>
      </c>
      <c r="G1392" s="1">
        <v>45107</v>
      </c>
      <c r="H1392" s="2">
        <v>44896</v>
      </c>
    </row>
    <row r="1393" spans="1:8" hidden="1" x14ac:dyDescent="0.45">
      <c r="A1393">
        <v>1391</v>
      </c>
      <c r="B1393" t="s">
        <v>7</v>
      </c>
      <c r="C1393" s="3">
        <v>1143332.44876571</v>
      </c>
      <c r="D1393" s="3">
        <v>1096298.6399999999</v>
      </c>
      <c r="E1393" s="3">
        <v>675102.48278408498</v>
      </c>
      <c r="F1393" s="3">
        <v>1653896.2538884</v>
      </c>
      <c r="G1393" s="1">
        <v>45107</v>
      </c>
      <c r="H1393" s="2">
        <v>44927</v>
      </c>
    </row>
    <row r="1394" spans="1:8" hidden="1" x14ac:dyDescent="0.45">
      <c r="A1394">
        <v>1392</v>
      </c>
      <c r="B1394" t="s">
        <v>7</v>
      </c>
      <c r="C1394" s="3">
        <v>904096.285808363</v>
      </c>
      <c r="D1394" s="3">
        <v>1036928.47</v>
      </c>
      <c r="E1394" s="3">
        <v>520118.26701736101</v>
      </c>
      <c r="F1394" s="3">
        <v>1320078.9253193301</v>
      </c>
      <c r="G1394" s="1">
        <v>45107</v>
      </c>
      <c r="H1394" s="2">
        <v>44958</v>
      </c>
    </row>
    <row r="1395" spans="1:8" hidden="1" x14ac:dyDescent="0.45">
      <c r="A1395">
        <v>1393</v>
      </c>
      <c r="B1395" t="s">
        <v>7</v>
      </c>
      <c r="C1395" s="3">
        <v>1390553.25240428</v>
      </c>
      <c r="D1395" s="3">
        <v>660363.89</v>
      </c>
      <c r="E1395" s="3">
        <v>826070.52200546104</v>
      </c>
      <c r="F1395" s="3">
        <v>1978895.0695906801</v>
      </c>
      <c r="G1395" s="1">
        <v>45107</v>
      </c>
      <c r="H1395" s="2">
        <v>44986</v>
      </c>
    </row>
    <row r="1396" spans="1:8" hidden="1" x14ac:dyDescent="0.45">
      <c r="A1396">
        <v>1394</v>
      </c>
      <c r="B1396" t="s">
        <v>7</v>
      </c>
      <c r="C1396" s="3">
        <v>656005.05672065902</v>
      </c>
      <c r="D1396" s="3">
        <v>1093282.48</v>
      </c>
      <c r="E1396" s="3">
        <v>348100.38828735502</v>
      </c>
      <c r="F1396" s="3">
        <v>993844.40997852106</v>
      </c>
      <c r="G1396" s="1">
        <v>45107</v>
      </c>
      <c r="H1396" s="2">
        <v>45017</v>
      </c>
    </row>
    <row r="1397" spans="1:8" hidden="1" x14ac:dyDescent="0.45">
      <c r="A1397">
        <v>1395</v>
      </c>
      <c r="B1397" t="s">
        <v>7</v>
      </c>
      <c r="C1397" s="3">
        <v>922989.068115748</v>
      </c>
      <c r="D1397" s="3">
        <v>1212297.6200000001</v>
      </c>
      <c r="E1397" s="3">
        <v>526305.57139818696</v>
      </c>
      <c r="F1397" s="3">
        <v>1340469.9731485201</v>
      </c>
      <c r="G1397" s="1">
        <v>45107</v>
      </c>
      <c r="H1397" s="2">
        <v>45047</v>
      </c>
    </row>
    <row r="1398" spans="1:8" hidden="1" x14ac:dyDescent="0.45">
      <c r="A1398">
        <v>1396</v>
      </c>
      <c r="B1398" t="s">
        <v>7</v>
      </c>
      <c r="C1398" s="3">
        <v>1007142.64921444</v>
      </c>
      <c r="D1398" s="3">
        <v>1041503.83</v>
      </c>
      <c r="E1398" s="3">
        <v>582952.95229853794</v>
      </c>
      <c r="F1398" s="3">
        <v>1462293.2071259201</v>
      </c>
      <c r="G1398" s="1">
        <v>45107</v>
      </c>
      <c r="H1398" s="2">
        <v>45078</v>
      </c>
    </row>
    <row r="1399" spans="1:8" hidden="1" x14ac:dyDescent="0.45">
      <c r="A1399">
        <v>1397</v>
      </c>
      <c r="B1399" t="s">
        <v>8</v>
      </c>
      <c r="C1399" s="3">
        <v>1179966.1365286901</v>
      </c>
      <c r="D1399" s="3">
        <v>1050196.51</v>
      </c>
      <c r="E1399" s="3">
        <v>657756.92925783002</v>
      </c>
      <c r="F1399" s="3">
        <v>1746437.2615860801</v>
      </c>
      <c r="G1399" s="1">
        <v>45107</v>
      </c>
      <c r="H1399" s="2">
        <v>45108</v>
      </c>
    </row>
    <row r="1400" spans="1:8" hidden="1" x14ac:dyDescent="0.45">
      <c r="A1400">
        <v>1398</v>
      </c>
      <c r="B1400" t="s">
        <v>8</v>
      </c>
      <c r="C1400" s="3">
        <v>1150080.5170354601</v>
      </c>
      <c r="D1400" s="3">
        <v>1065951.06</v>
      </c>
      <c r="E1400" s="3">
        <v>604378.07172998204</v>
      </c>
      <c r="F1400" s="3">
        <v>1736524.65617844</v>
      </c>
      <c r="G1400" s="1">
        <v>45107</v>
      </c>
      <c r="H1400" s="2">
        <v>45139</v>
      </c>
    </row>
    <row r="1401" spans="1:8" hidden="1" x14ac:dyDescent="0.45">
      <c r="A1401">
        <v>1399</v>
      </c>
      <c r="B1401" t="s">
        <v>8</v>
      </c>
      <c r="C1401" s="3">
        <v>1038139.41638075</v>
      </c>
      <c r="D1401" s="3">
        <v>1164282.8</v>
      </c>
      <c r="E1401" s="3">
        <v>581190.94833158795</v>
      </c>
      <c r="F1401" s="3">
        <v>1561908.6071865</v>
      </c>
      <c r="G1401" s="1">
        <v>45107</v>
      </c>
      <c r="H1401" s="2">
        <v>45170</v>
      </c>
    </row>
    <row r="1402" spans="1:8" hidden="1" x14ac:dyDescent="0.45">
      <c r="A1402">
        <v>1400</v>
      </c>
      <c r="B1402" t="s">
        <v>8</v>
      </c>
      <c r="C1402" s="3">
        <v>884201.45562767796</v>
      </c>
      <c r="D1402" s="3">
        <v>1030474.17</v>
      </c>
      <c r="E1402" s="3">
        <v>439172.76384036901</v>
      </c>
      <c r="F1402" s="3">
        <v>1367711.4183032601</v>
      </c>
      <c r="G1402" s="1">
        <v>45107</v>
      </c>
      <c r="H1402" s="2">
        <v>45200</v>
      </c>
    </row>
    <row r="1403" spans="1:8" hidden="1" x14ac:dyDescent="0.45">
      <c r="A1403">
        <v>1401</v>
      </c>
      <c r="B1403" t="s">
        <v>8</v>
      </c>
      <c r="C1403" s="3">
        <v>1852841.05413113</v>
      </c>
      <c r="D1403" s="3">
        <v>1723011.7</v>
      </c>
      <c r="E1403" s="3">
        <v>1127926.0858175801</v>
      </c>
      <c r="F1403" s="3">
        <v>2648762.2504052101</v>
      </c>
      <c r="G1403" s="1">
        <v>45107</v>
      </c>
      <c r="H1403" s="2">
        <v>45231</v>
      </c>
    </row>
    <row r="1404" spans="1:8" hidden="1" x14ac:dyDescent="0.45">
      <c r="A1404">
        <v>1402</v>
      </c>
      <c r="B1404" t="s">
        <v>8</v>
      </c>
      <c r="C1404" s="3">
        <v>522739.37891473999</v>
      </c>
      <c r="D1404" s="3">
        <v>745599.28999999899</v>
      </c>
      <c r="E1404" s="3">
        <v>249815.151539221</v>
      </c>
      <c r="F1404" s="3">
        <v>831288.47434374795</v>
      </c>
      <c r="G1404" s="1">
        <v>45107</v>
      </c>
      <c r="H1404" s="2">
        <v>45261</v>
      </c>
    </row>
    <row r="1405" spans="1:8" hidden="1" x14ac:dyDescent="0.45">
      <c r="A1405">
        <v>1403</v>
      </c>
      <c r="B1405" t="s">
        <v>8</v>
      </c>
      <c r="C1405" s="3">
        <v>978649.18995482102</v>
      </c>
      <c r="D1405" s="3">
        <v>1128047.3</v>
      </c>
      <c r="E1405" s="3">
        <v>529377.34682323097</v>
      </c>
      <c r="F1405" s="3">
        <v>1471584.09911249</v>
      </c>
      <c r="G1405" s="1">
        <v>45107</v>
      </c>
      <c r="H1405" s="2">
        <v>45292</v>
      </c>
    </row>
    <row r="1406" spans="1:8" hidden="1" x14ac:dyDescent="0.45">
      <c r="A1406">
        <v>1404</v>
      </c>
      <c r="B1406" t="s">
        <v>8</v>
      </c>
      <c r="C1406" s="3">
        <v>784084.06823379104</v>
      </c>
      <c r="D1406" s="3">
        <v>764961.34</v>
      </c>
      <c r="E1406" s="3">
        <v>416894.077649582</v>
      </c>
      <c r="F1406" s="3">
        <v>1184402.9275227899</v>
      </c>
      <c r="G1406" s="1">
        <v>45107</v>
      </c>
      <c r="H1406" s="2">
        <v>45323</v>
      </c>
    </row>
    <row r="1407" spans="1:8" hidden="1" x14ac:dyDescent="0.45">
      <c r="A1407">
        <v>1405</v>
      </c>
      <c r="B1407" t="s">
        <v>8</v>
      </c>
      <c r="C1407" s="3">
        <v>1113027.7212238801</v>
      </c>
      <c r="D1407" s="3">
        <v>770051.1</v>
      </c>
      <c r="E1407" s="3">
        <v>615597.14611581399</v>
      </c>
      <c r="F1407" s="3">
        <v>1648731.46993766</v>
      </c>
      <c r="G1407" s="1">
        <v>45107</v>
      </c>
      <c r="H1407" s="2">
        <v>45352</v>
      </c>
    </row>
    <row r="1408" spans="1:8" hidden="1" x14ac:dyDescent="0.45">
      <c r="A1408">
        <v>1406</v>
      </c>
      <c r="B1408" t="s">
        <v>8</v>
      </c>
      <c r="C1408" s="3">
        <v>574813.86536536203</v>
      </c>
      <c r="D1408" s="3">
        <v>1183905.6200000001</v>
      </c>
      <c r="E1408" s="3">
        <v>286578.87301585497</v>
      </c>
      <c r="F1408" s="3">
        <v>903254.70541124698</v>
      </c>
      <c r="G1408" s="1">
        <v>45107</v>
      </c>
      <c r="H1408" s="2">
        <v>45383</v>
      </c>
    </row>
    <row r="1409" spans="1:8" hidden="1" x14ac:dyDescent="0.45">
      <c r="A1409">
        <v>1407</v>
      </c>
      <c r="B1409" t="s">
        <v>8</v>
      </c>
      <c r="C1409" s="3">
        <v>795974.158775736</v>
      </c>
      <c r="D1409" s="3">
        <v>649215.21</v>
      </c>
      <c r="E1409" s="3">
        <v>431013.62490259</v>
      </c>
      <c r="F1409" s="3">
        <v>1196202.2231365701</v>
      </c>
      <c r="G1409" s="1">
        <v>45107</v>
      </c>
      <c r="H1409" s="2">
        <v>45413</v>
      </c>
    </row>
    <row r="1410" spans="1:8" hidden="1" x14ac:dyDescent="0.45">
      <c r="A1410">
        <v>1408</v>
      </c>
      <c r="B1410" t="s">
        <v>8</v>
      </c>
      <c r="C1410" s="3">
        <v>842483.69692426105</v>
      </c>
      <c r="D1410" s="3">
        <v>664980.43000000005</v>
      </c>
      <c r="E1410" s="3">
        <v>479226.47490830801</v>
      </c>
      <c r="F1410" s="3">
        <v>1253595.8102716201</v>
      </c>
      <c r="G1410" s="1">
        <v>45107</v>
      </c>
      <c r="H1410" s="2">
        <v>45444</v>
      </c>
    </row>
    <row r="1411" spans="1:8" hidden="1" x14ac:dyDescent="0.45">
      <c r="A1411">
        <v>1409</v>
      </c>
      <c r="B1411" t="s">
        <v>8</v>
      </c>
      <c r="C1411" s="3">
        <v>999946.77924045303</v>
      </c>
      <c r="D1411" s="3">
        <v>730355.77</v>
      </c>
      <c r="E1411" s="3">
        <v>531390.54044139397</v>
      </c>
      <c r="F1411" s="3">
        <v>1498369.1519265</v>
      </c>
      <c r="G1411" s="1">
        <v>45107</v>
      </c>
      <c r="H1411" s="2">
        <v>45474</v>
      </c>
    </row>
    <row r="1412" spans="1:8" hidden="1" x14ac:dyDescent="0.45">
      <c r="A1412">
        <v>1410</v>
      </c>
      <c r="B1412" t="s">
        <v>8</v>
      </c>
      <c r="C1412" s="3">
        <v>1011622.03264043</v>
      </c>
      <c r="D1412" s="3">
        <v>694358.44</v>
      </c>
      <c r="E1412" s="3">
        <v>524618.51478643005</v>
      </c>
      <c r="F1412" s="3">
        <v>1549004.2536065299</v>
      </c>
      <c r="G1412" s="1">
        <v>45107</v>
      </c>
      <c r="H1412" s="2">
        <v>45505</v>
      </c>
    </row>
    <row r="1413" spans="1:8" hidden="1" x14ac:dyDescent="0.45">
      <c r="A1413">
        <v>1411</v>
      </c>
      <c r="B1413" t="s">
        <v>8</v>
      </c>
      <c r="C1413" s="3">
        <v>919473.17830125196</v>
      </c>
      <c r="D1413" s="3">
        <v>1253697.67</v>
      </c>
      <c r="E1413" s="3">
        <v>504169.38125714299</v>
      </c>
      <c r="F1413" s="3">
        <v>1400795.24704973</v>
      </c>
      <c r="G1413" s="1">
        <v>45107</v>
      </c>
      <c r="H1413" s="2">
        <v>45536</v>
      </c>
    </row>
    <row r="1414" spans="1:8" hidden="1" x14ac:dyDescent="0.45">
      <c r="A1414">
        <v>1412</v>
      </c>
      <c r="B1414" t="s">
        <v>8</v>
      </c>
      <c r="C1414" s="3">
        <v>789980.94919605704</v>
      </c>
      <c r="D1414" s="3">
        <v>490957.89</v>
      </c>
      <c r="E1414" s="3">
        <v>370316.94469476899</v>
      </c>
      <c r="F1414" s="3">
        <v>1231167.02670213</v>
      </c>
      <c r="G1414" s="1">
        <v>45107</v>
      </c>
      <c r="H1414" s="2">
        <v>45566</v>
      </c>
    </row>
    <row r="1415" spans="1:8" hidden="1" x14ac:dyDescent="0.45">
      <c r="A1415">
        <v>1413</v>
      </c>
      <c r="B1415" t="s">
        <v>8</v>
      </c>
      <c r="C1415" s="3">
        <v>1647739.1012102901</v>
      </c>
      <c r="D1415" s="3"/>
      <c r="E1415" s="3">
        <v>1001130.37189145</v>
      </c>
      <c r="F1415" s="3">
        <v>2380814.5679420601</v>
      </c>
      <c r="G1415" s="1">
        <v>45107</v>
      </c>
      <c r="H1415" s="2">
        <v>45597</v>
      </c>
    </row>
    <row r="1416" spans="1:8" hidden="1" x14ac:dyDescent="0.45">
      <c r="A1416">
        <v>1414</v>
      </c>
      <c r="B1416" t="s">
        <v>8</v>
      </c>
      <c r="C1416" s="3">
        <v>476679.82359739603</v>
      </c>
      <c r="D1416" s="3"/>
      <c r="E1416" s="3">
        <v>226800.177456996</v>
      </c>
      <c r="F1416" s="3">
        <v>756123.64403784205</v>
      </c>
      <c r="G1416" s="1">
        <v>45107</v>
      </c>
      <c r="H1416" s="2">
        <v>45627</v>
      </c>
    </row>
    <row r="1417" spans="1:8" hidden="1" x14ac:dyDescent="0.45">
      <c r="A1417">
        <v>1415</v>
      </c>
      <c r="B1417" t="s">
        <v>8</v>
      </c>
      <c r="C1417" s="3">
        <v>890656.08939961903</v>
      </c>
      <c r="D1417" s="3"/>
      <c r="E1417" s="3">
        <v>472488.63720549602</v>
      </c>
      <c r="F1417" s="3">
        <v>1344342.5581708699</v>
      </c>
      <c r="G1417" s="1">
        <v>45107</v>
      </c>
      <c r="H1417" s="2">
        <v>45658</v>
      </c>
    </row>
    <row r="1418" spans="1:8" hidden="1" x14ac:dyDescent="0.45">
      <c r="A1418">
        <v>1416</v>
      </c>
      <c r="B1418" t="s">
        <v>8</v>
      </c>
      <c r="C1418" s="3">
        <v>719122.73782020202</v>
      </c>
      <c r="D1418" s="3"/>
      <c r="E1418" s="3">
        <v>386718.975319269</v>
      </c>
      <c r="F1418" s="3">
        <v>1100043.86671676</v>
      </c>
      <c r="G1418" s="1">
        <v>45107</v>
      </c>
      <c r="H1418" s="2">
        <v>45689</v>
      </c>
    </row>
    <row r="1419" spans="1:8" hidden="1" x14ac:dyDescent="0.45">
      <c r="A1419">
        <v>1417</v>
      </c>
      <c r="B1419" t="s">
        <v>8</v>
      </c>
      <c r="C1419" s="3">
        <v>1014000.6004560899</v>
      </c>
      <c r="D1419" s="3"/>
      <c r="E1419" s="3">
        <v>562953.48338268697</v>
      </c>
      <c r="F1419" s="3">
        <v>1504436.0329582</v>
      </c>
      <c r="G1419" s="1">
        <v>45107</v>
      </c>
      <c r="H1419" s="2">
        <v>45717</v>
      </c>
    </row>
    <row r="1420" spans="1:8" hidden="1" x14ac:dyDescent="0.45">
      <c r="A1420">
        <v>1418</v>
      </c>
      <c r="B1420" t="s">
        <v>8</v>
      </c>
      <c r="C1420" s="3">
        <v>532029.25075922895</v>
      </c>
      <c r="D1420" s="3"/>
      <c r="E1420" s="3">
        <v>260530.90574555</v>
      </c>
      <c r="F1420" s="3">
        <v>834436.61971523298</v>
      </c>
      <c r="G1420" s="1">
        <v>45107</v>
      </c>
      <c r="H1420" s="2">
        <v>45748</v>
      </c>
    </row>
    <row r="1421" spans="1:8" hidden="1" x14ac:dyDescent="0.45">
      <c r="A1421">
        <v>1419</v>
      </c>
      <c r="B1421" t="s">
        <v>8</v>
      </c>
      <c r="C1421" s="3">
        <v>734688.07487116102</v>
      </c>
      <c r="D1421" s="3"/>
      <c r="E1421" s="3">
        <v>397487.90817876201</v>
      </c>
      <c r="F1421" s="3">
        <v>1111738.5097080199</v>
      </c>
      <c r="G1421" s="1">
        <v>45107</v>
      </c>
      <c r="H1421" s="2">
        <v>45778</v>
      </c>
    </row>
    <row r="1422" spans="1:8" hidden="1" x14ac:dyDescent="0.45">
      <c r="A1422">
        <v>1420</v>
      </c>
      <c r="B1422" t="s">
        <v>8</v>
      </c>
      <c r="C1422" s="3">
        <v>779909.10602054803</v>
      </c>
      <c r="D1422" s="3"/>
      <c r="E1422" s="3">
        <v>441435.63676972699</v>
      </c>
      <c r="F1422" s="3">
        <v>1157334.56414162</v>
      </c>
      <c r="G1422" s="1">
        <v>45107</v>
      </c>
      <c r="H1422" s="2">
        <v>45809</v>
      </c>
    </row>
    <row r="1423" spans="1:8" hidden="1" x14ac:dyDescent="0.45">
      <c r="A1423">
        <v>1421</v>
      </c>
      <c r="B1423" t="s">
        <v>8</v>
      </c>
      <c r="C1423" s="3">
        <v>925253.62377952703</v>
      </c>
      <c r="D1423" s="3"/>
      <c r="E1423" s="3">
        <v>492401.98875524098</v>
      </c>
      <c r="F1423" s="3">
        <v>1381157.6654922699</v>
      </c>
      <c r="G1423" s="1">
        <v>45107</v>
      </c>
      <c r="H1423" s="2">
        <v>45839</v>
      </c>
    </row>
    <row r="1424" spans="1:8" hidden="1" x14ac:dyDescent="0.45">
      <c r="A1424">
        <v>1422</v>
      </c>
      <c r="B1424" t="s">
        <v>8</v>
      </c>
      <c r="C1424" s="3">
        <v>934585.30958114204</v>
      </c>
      <c r="D1424" s="3"/>
      <c r="E1424" s="3">
        <v>491743.10854053602</v>
      </c>
      <c r="F1424" s="3">
        <v>1435719.52144352</v>
      </c>
      <c r="G1424" s="1">
        <v>45107</v>
      </c>
      <c r="H1424" s="2">
        <v>45870</v>
      </c>
    </row>
    <row r="1425" spans="1:8" hidden="1" x14ac:dyDescent="0.45">
      <c r="A1425">
        <v>1423</v>
      </c>
      <c r="B1425" t="s">
        <v>8</v>
      </c>
      <c r="C1425" s="3">
        <v>851374.34588079597</v>
      </c>
      <c r="D1425" s="3"/>
      <c r="E1425" s="3">
        <v>467567.78689312801</v>
      </c>
      <c r="F1425" s="3">
        <v>1297524.1239545799</v>
      </c>
      <c r="G1425" s="1">
        <v>45107</v>
      </c>
      <c r="H1425" s="2">
        <v>45901</v>
      </c>
    </row>
    <row r="1426" spans="1:8" hidden="1" x14ac:dyDescent="0.45">
      <c r="A1426">
        <v>1424</v>
      </c>
      <c r="B1426" t="s">
        <v>8</v>
      </c>
      <c r="C1426" s="3">
        <v>729878.86884192901</v>
      </c>
      <c r="D1426" s="3"/>
      <c r="E1426" s="3">
        <v>349543.63236336102</v>
      </c>
      <c r="F1426" s="3">
        <v>1143212.2324606299</v>
      </c>
      <c r="G1426" s="1">
        <v>45107</v>
      </c>
      <c r="H1426" s="2">
        <v>45931</v>
      </c>
    </row>
    <row r="1427" spans="1:8" hidden="1" x14ac:dyDescent="0.45">
      <c r="A1427">
        <v>1425</v>
      </c>
      <c r="B1427" t="s">
        <v>7</v>
      </c>
      <c r="C1427" s="3">
        <v>141671.563521626</v>
      </c>
      <c r="D1427" s="3">
        <v>28250.62</v>
      </c>
      <c r="E1427" s="3">
        <v>86561.168659674804</v>
      </c>
      <c r="F1427" s="3">
        <v>204258.181761924</v>
      </c>
      <c r="G1427" s="1">
        <v>45138</v>
      </c>
      <c r="H1427" s="2">
        <v>44228</v>
      </c>
    </row>
    <row r="1428" spans="1:8" hidden="1" x14ac:dyDescent="0.45">
      <c r="A1428">
        <v>1426</v>
      </c>
      <c r="B1428" t="s">
        <v>7</v>
      </c>
      <c r="C1428" s="3">
        <v>293971.61748076801</v>
      </c>
      <c r="D1428" s="3">
        <v>36247.919999999998</v>
      </c>
      <c r="E1428" s="3">
        <v>197202.60223487401</v>
      </c>
      <c r="F1428" s="3">
        <v>403387.37210332102</v>
      </c>
      <c r="G1428" s="1">
        <v>45138</v>
      </c>
      <c r="H1428" s="2">
        <v>44256</v>
      </c>
    </row>
    <row r="1429" spans="1:8" hidden="1" x14ac:dyDescent="0.45">
      <c r="A1429">
        <v>1427</v>
      </c>
      <c r="B1429" t="s">
        <v>7</v>
      </c>
      <c r="C1429" s="3">
        <v>141362.49558796201</v>
      </c>
      <c r="D1429" s="3">
        <v>14721.48</v>
      </c>
      <c r="E1429" s="3">
        <v>76927.852843470697</v>
      </c>
      <c r="F1429" s="3">
        <v>211862.09184899801</v>
      </c>
      <c r="G1429" s="1">
        <v>45138</v>
      </c>
      <c r="H1429" s="2">
        <v>44287</v>
      </c>
    </row>
    <row r="1430" spans="1:8" hidden="1" x14ac:dyDescent="0.45">
      <c r="A1430">
        <v>1428</v>
      </c>
      <c r="B1430" t="s">
        <v>7</v>
      </c>
      <c r="C1430" s="3">
        <v>218514.70562853201</v>
      </c>
      <c r="D1430" s="3">
        <v>94346.71</v>
      </c>
      <c r="E1430" s="3">
        <v>125086.21065289799</v>
      </c>
      <c r="F1430" s="3">
        <v>317742.78114695498</v>
      </c>
      <c r="G1430" s="1">
        <v>45138</v>
      </c>
      <c r="H1430" s="2">
        <v>44317</v>
      </c>
    </row>
    <row r="1431" spans="1:8" hidden="1" x14ac:dyDescent="0.45">
      <c r="A1431">
        <v>1429</v>
      </c>
      <c r="B1431" t="s">
        <v>7</v>
      </c>
      <c r="C1431" s="3">
        <v>433789.81346313702</v>
      </c>
      <c r="D1431" s="3">
        <v>970740.72</v>
      </c>
      <c r="E1431" s="3">
        <v>268940.34635545802</v>
      </c>
      <c r="F1431" s="3">
        <v>602229.38316617999</v>
      </c>
      <c r="G1431" s="1">
        <v>45138</v>
      </c>
      <c r="H1431" s="2">
        <v>44348</v>
      </c>
    </row>
    <row r="1432" spans="1:8" hidden="1" x14ac:dyDescent="0.45">
      <c r="A1432">
        <v>1430</v>
      </c>
      <c r="B1432" t="s">
        <v>7</v>
      </c>
      <c r="C1432" s="3">
        <v>1018972.5560472599</v>
      </c>
      <c r="D1432" s="3">
        <v>1798271.24</v>
      </c>
      <c r="E1432" s="3">
        <v>685464.62635115697</v>
      </c>
      <c r="F1432" s="3">
        <v>1359075.9293603499</v>
      </c>
      <c r="G1432" s="1">
        <v>45138</v>
      </c>
      <c r="H1432" s="2">
        <v>44378</v>
      </c>
    </row>
    <row r="1433" spans="1:8" hidden="1" x14ac:dyDescent="0.45">
      <c r="A1433">
        <v>1431</v>
      </c>
      <c r="B1433" t="s">
        <v>7</v>
      </c>
      <c r="C1433" s="3">
        <v>1066692.13065024</v>
      </c>
      <c r="D1433" s="3">
        <v>700449.31</v>
      </c>
      <c r="E1433" s="3">
        <v>701781.30323179695</v>
      </c>
      <c r="F1433" s="3">
        <v>1460070.70366706</v>
      </c>
      <c r="G1433" s="1">
        <v>45138</v>
      </c>
      <c r="H1433" s="2">
        <v>44409</v>
      </c>
    </row>
    <row r="1434" spans="1:8" hidden="1" x14ac:dyDescent="0.45">
      <c r="A1434">
        <v>1432</v>
      </c>
      <c r="B1434" t="s">
        <v>7</v>
      </c>
      <c r="C1434" s="3">
        <v>1123262.16192069</v>
      </c>
      <c r="D1434" s="3">
        <v>1784906.52</v>
      </c>
      <c r="E1434" s="3">
        <v>743734.06182682398</v>
      </c>
      <c r="F1434" s="3">
        <v>1533686.89154479</v>
      </c>
      <c r="G1434" s="1">
        <v>45138</v>
      </c>
      <c r="H1434" s="2">
        <v>44440</v>
      </c>
    </row>
    <row r="1435" spans="1:8" hidden="1" x14ac:dyDescent="0.45">
      <c r="A1435">
        <v>1433</v>
      </c>
      <c r="B1435" t="s">
        <v>7</v>
      </c>
      <c r="C1435" s="3">
        <v>980013.06147255795</v>
      </c>
      <c r="D1435" s="3">
        <v>706422.77</v>
      </c>
      <c r="E1435" s="3">
        <v>607017.78133574198</v>
      </c>
      <c r="F1435" s="3">
        <v>1376823.61325599</v>
      </c>
      <c r="G1435" s="1">
        <v>45138</v>
      </c>
      <c r="H1435" s="2">
        <v>44470</v>
      </c>
    </row>
    <row r="1436" spans="1:8" hidden="1" x14ac:dyDescent="0.45">
      <c r="A1436">
        <v>1434</v>
      </c>
      <c r="B1436" t="s">
        <v>7</v>
      </c>
      <c r="C1436" s="3">
        <v>2184068.5754976599</v>
      </c>
      <c r="D1436" s="3">
        <v>3115611.92</v>
      </c>
      <c r="E1436" s="3">
        <v>1567072.2308805301</v>
      </c>
      <c r="F1436" s="3">
        <v>2812039.1144086001</v>
      </c>
      <c r="G1436" s="1">
        <v>45138</v>
      </c>
      <c r="H1436" s="2">
        <v>44501</v>
      </c>
    </row>
    <row r="1437" spans="1:8" hidden="1" x14ac:dyDescent="0.45">
      <c r="A1437">
        <v>1435</v>
      </c>
      <c r="B1437" t="s">
        <v>7</v>
      </c>
      <c r="C1437" s="3">
        <v>703211.41437671694</v>
      </c>
      <c r="D1437" s="3">
        <v>227049.91</v>
      </c>
      <c r="E1437" s="3">
        <v>383747.94375910098</v>
      </c>
      <c r="F1437" s="3">
        <v>1054702.0786105201</v>
      </c>
      <c r="G1437" s="1">
        <v>45138</v>
      </c>
      <c r="H1437" s="2">
        <v>44531</v>
      </c>
    </row>
    <row r="1438" spans="1:8" hidden="1" x14ac:dyDescent="0.45">
      <c r="A1438">
        <v>1436</v>
      </c>
      <c r="B1438" t="s">
        <v>7</v>
      </c>
      <c r="C1438" s="3">
        <v>1308202.8683500299</v>
      </c>
      <c r="D1438" s="3">
        <v>1231496.1499999999</v>
      </c>
      <c r="E1438" s="3">
        <v>811884.83254973299</v>
      </c>
      <c r="F1438" s="3">
        <v>1822977.3893484899</v>
      </c>
      <c r="G1438" s="1">
        <v>45138</v>
      </c>
      <c r="H1438" s="2">
        <v>44562</v>
      </c>
    </row>
    <row r="1439" spans="1:8" hidden="1" x14ac:dyDescent="0.45">
      <c r="A1439">
        <v>1437</v>
      </c>
      <c r="B1439" t="s">
        <v>7</v>
      </c>
      <c r="C1439" s="3">
        <v>1045386.60810931</v>
      </c>
      <c r="D1439" s="3">
        <v>1031231.86</v>
      </c>
      <c r="E1439" s="3">
        <v>639586.96568487806</v>
      </c>
      <c r="F1439" s="3">
        <v>1492192.1361626999</v>
      </c>
      <c r="G1439" s="1">
        <v>45138</v>
      </c>
      <c r="H1439" s="2">
        <v>44593</v>
      </c>
    </row>
    <row r="1440" spans="1:8" hidden="1" x14ac:dyDescent="0.45">
      <c r="A1440">
        <v>1438</v>
      </c>
      <c r="B1440" t="s">
        <v>7</v>
      </c>
      <c r="C1440" s="3">
        <v>1828059.8341316001</v>
      </c>
      <c r="D1440" s="3">
        <v>2866780.02</v>
      </c>
      <c r="E1440" s="3">
        <v>1208933.80346791</v>
      </c>
      <c r="F1440" s="3">
        <v>2484133.0734079899</v>
      </c>
      <c r="G1440" s="1">
        <v>45138</v>
      </c>
      <c r="H1440" s="2">
        <v>44621</v>
      </c>
    </row>
    <row r="1441" spans="1:8" hidden="1" x14ac:dyDescent="0.45">
      <c r="A1441">
        <v>1439</v>
      </c>
      <c r="B1441" t="s">
        <v>7</v>
      </c>
      <c r="C1441" s="3">
        <v>792188.683864058</v>
      </c>
      <c r="D1441" s="3">
        <v>106305.83</v>
      </c>
      <c r="E1441" s="3">
        <v>434969.45123280498</v>
      </c>
      <c r="F1441" s="3">
        <v>1188688.87712986</v>
      </c>
      <c r="G1441" s="1">
        <v>45138</v>
      </c>
      <c r="H1441" s="2">
        <v>44652</v>
      </c>
    </row>
    <row r="1442" spans="1:8" hidden="1" x14ac:dyDescent="0.45">
      <c r="A1442">
        <v>1440</v>
      </c>
      <c r="B1442" t="s">
        <v>7</v>
      </c>
      <c r="C1442" s="3">
        <v>1088969.3708535801</v>
      </c>
      <c r="D1442" s="3">
        <v>667164.73</v>
      </c>
      <c r="E1442" s="3">
        <v>661845.87228724</v>
      </c>
      <c r="F1442" s="3">
        <v>1557775.2405476801</v>
      </c>
      <c r="G1442" s="1">
        <v>45138</v>
      </c>
      <c r="H1442" s="2">
        <v>44682</v>
      </c>
    </row>
    <row r="1443" spans="1:8" hidden="1" x14ac:dyDescent="0.45">
      <c r="A1443">
        <v>1441</v>
      </c>
      <c r="B1443" t="s">
        <v>7</v>
      </c>
      <c r="C1443" s="3">
        <v>1226368.9439934699</v>
      </c>
      <c r="D1443" s="3">
        <v>1398761.09</v>
      </c>
      <c r="E1443" s="3">
        <v>758304.01058259699</v>
      </c>
      <c r="F1443" s="3">
        <v>1754832.5837411401</v>
      </c>
      <c r="G1443" s="1">
        <v>45138</v>
      </c>
      <c r="H1443" s="2">
        <v>44713</v>
      </c>
    </row>
    <row r="1444" spans="1:8" hidden="1" x14ac:dyDescent="0.45">
      <c r="A1444">
        <v>1442</v>
      </c>
      <c r="B1444" t="s">
        <v>7</v>
      </c>
      <c r="C1444" s="3">
        <v>1356093.5944881199</v>
      </c>
      <c r="D1444" s="3">
        <v>931475.54</v>
      </c>
      <c r="E1444" s="3">
        <v>838180.71151277097</v>
      </c>
      <c r="F1444" s="3">
        <v>1917361.4828353701</v>
      </c>
      <c r="G1444" s="1">
        <v>45138</v>
      </c>
      <c r="H1444" s="2">
        <v>44743</v>
      </c>
    </row>
    <row r="1445" spans="1:8" hidden="1" x14ac:dyDescent="0.45">
      <c r="A1445">
        <v>1443</v>
      </c>
      <c r="B1445" t="s">
        <v>7</v>
      </c>
      <c r="C1445" s="3">
        <v>1284115.0106391101</v>
      </c>
      <c r="D1445" s="3">
        <v>1335916.6499999999</v>
      </c>
      <c r="E1445" s="3">
        <v>758146.57722391596</v>
      </c>
      <c r="F1445" s="3">
        <v>1831407.1288606799</v>
      </c>
      <c r="G1445" s="1">
        <v>45138</v>
      </c>
      <c r="H1445" s="2">
        <v>44774</v>
      </c>
    </row>
    <row r="1446" spans="1:8" hidden="1" x14ac:dyDescent="0.45">
      <c r="A1446">
        <v>1444</v>
      </c>
      <c r="B1446" t="s">
        <v>7</v>
      </c>
      <c r="C1446" s="3">
        <v>1188228.84941219</v>
      </c>
      <c r="D1446" s="3">
        <v>976647.27</v>
      </c>
      <c r="E1446" s="3">
        <v>700727.81777522399</v>
      </c>
      <c r="F1446" s="3">
        <v>1711805.51158008</v>
      </c>
      <c r="G1446" s="1">
        <v>45138</v>
      </c>
      <c r="H1446" s="2">
        <v>44805</v>
      </c>
    </row>
    <row r="1447" spans="1:8" hidden="1" x14ac:dyDescent="0.45">
      <c r="A1447">
        <v>1445</v>
      </c>
      <c r="B1447" t="s">
        <v>7</v>
      </c>
      <c r="C1447" s="3">
        <v>1009109.20220037</v>
      </c>
      <c r="D1447" s="3">
        <v>975982.86</v>
      </c>
      <c r="E1447" s="3">
        <v>575602.19368267094</v>
      </c>
      <c r="F1447" s="3">
        <v>1481449.92827633</v>
      </c>
      <c r="G1447" s="1">
        <v>45138</v>
      </c>
      <c r="H1447" s="2">
        <v>44835</v>
      </c>
    </row>
    <row r="1448" spans="1:8" hidden="1" x14ac:dyDescent="0.45">
      <c r="A1448">
        <v>1446</v>
      </c>
      <c r="B1448" t="s">
        <v>7</v>
      </c>
      <c r="C1448" s="3">
        <v>2210387.0134050702</v>
      </c>
      <c r="D1448" s="3">
        <v>2010415.16</v>
      </c>
      <c r="E1448" s="3">
        <v>1412308.1904299001</v>
      </c>
      <c r="F1448" s="3">
        <v>3018784.8852541698</v>
      </c>
      <c r="G1448" s="1">
        <v>45138</v>
      </c>
      <c r="H1448" s="2">
        <v>44866</v>
      </c>
    </row>
    <row r="1449" spans="1:8" hidden="1" x14ac:dyDescent="0.45">
      <c r="A1449">
        <v>1447</v>
      </c>
      <c r="B1449" t="s">
        <v>7</v>
      </c>
      <c r="C1449" s="3">
        <v>614822.46989056503</v>
      </c>
      <c r="D1449" s="3">
        <v>348929.42</v>
      </c>
      <c r="E1449" s="3">
        <v>319941.97534426401</v>
      </c>
      <c r="F1449" s="3">
        <v>960540.84008565894</v>
      </c>
      <c r="G1449" s="1">
        <v>45138</v>
      </c>
      <c r="H1449" s="2">
        <v>44896</v>
      </c>
    </row>
    <row r="1450" spans="1:8" hidden="1" x14ac:dyDescent="0.45">
      <c r="A1450">
        <v>1448</v>
      </c>
      <c r="B1450" t="s">
        <v>7</v>
      </c>
      <c r="C1450" s="3">
        <v>1140391.00156873</v>
      </c>
      <c r="D1450" s="3">
        <v>1096298.6399999999</v>
      </c>
      <c r="E1450" s="3">
        <v>673381.05916809698</v>
      </c>
      <c r="F1450" s="3">
        <v>1648280.9213813399</v>
      </c>
      <c r="G1450" s="1">
        <v>45138</v>
      </c>
      <c r="H1450" s="2">
        <v>44927</v>
      </c>
    </row>
    <row r="1451" spans="1:8" hidden="1" x14ac:dyDescent="0.45">
      <c r="A1451">
        <v>1449</v>
      </c>
      <c r="B1451" t="s">
        <v>7</v>
      </c>
      <c r="C1451" s="3">
        <v>917669.00071718195</v>
      </c>
      <c r="D1451" s="3">
        <v>1036928.47</v>
      </c>
      <c r="E1451" s="3">
        <v>512661.88249175501</v>
      </c>
      <c r="F1451" s="3">
        <v>1347198.89620493</v>
      </c>
      <c r="G1451" s="1">
        <v>45138</v>
      </c>
      <c r="H1451" s="2">
        <v>44958</v>
      </c>
    </row>
    <row r="1452" spans="1:8" hidden="1" x14ac:dyDescent="0.45">
      <c r="A1452">
        <v>1450</v>
      </c>
      <c r="B1452" t="s">
        <v>7</v>
      </c>
      <c r="C1452" s="3">
        <v>1397111.3539712699</v>
      </c>
      <c r="D1452" s="3">
        <v>660363.89</v>
      </c>
      <c r="E1452" s="3">
        <v>844818.85012043396</v>
      </c>
      <c r="F1452" s="3">
        <v>1999581.28418223</v>
      </c>
      <c r="G1452" s="1">
        <v>45138</v>
      </c>
      <c r="H1452" s="2">
        <v>44986</v>
      </c>
    </row>
    <row r="1453" spans="1:8" hidden="1" x14ac:dyDescent="0.45">
      <c r="A1453">
        <v>1451</v>
      </c>
      <c r="B1453" t="s">
        <v>7</v>
      </c>
      <c r="C1453" s="3">
        <v>673035.37618629099</v>
      </c>
      <c r="D1453" s="3">
        <v>1093282.48</v>
      </c>
      <c r="E1453" s="3">
        <v>358339.99458307901</v>
      </c>
      <c r="F1453" s="3">
        <v>1029688.17424677</v>
      </c>
      <c r="G1453" s="1">
        <v>45138</v>
      </c>
      <c r="H1453" s="2">
        <v>45017</v>
      </c>
    </row>
    <row r="1454" spans="1:8" hidden="1" x14ac:dyDescent="0.45">
      <c r="A1454">
        <v>1452</v>
      </c>
      <c r="B1454" t="s">
        <v>7</v>
      </c>
      <c r="C1454" s="3">
        <v>930197.79117347603</v>
      </c>
      <c r="D1454" s="3">
        <v>1212297.6200000001</v>
      </c>
      <c r="E1454" s="3">
        <v>532366.51852216898</v>
      </c>
      <c r="F1454" s="3">
        <v>1360335.9139574601</v>
      </c>
      <c r="G1454" s="1">
        <v>45138</v>
      </c>
      <c r="H1454" s="2">
        <v>45047</v>
      </c>
    </row>
    <row r="1455" spans="1:8" hidden="1" x14ac:dyDescent="0.45">
      <c r="A1455">
        <v>1453</v>
      </c>
      <c r="B1455" t="s">
        <v>7</v>
      </c>
      <c r="C1455" s="3">
        <v>1006334.4076382699</v>
      </c>
      <c r="D1455" s="3">
        <v>1041503.83</v>
      </c>
      <c r="E1455" s="3">
        <v>573177.52793091396</v>
      </c>
      <c r="F1455" s="3">
        <v>1472657.1411467299</v>
      </c>
      <c r="G1455" s="1">
        <v>45138</v>
      </c>
      <c r="H1455" s="2">
        <v>45078</v>
      </c>
    </row>
    <row r="1456" spans="1:8" hidden="1" x14ac:dyDescent="0.45">
      <c r="A1456">
        <v>1454</v>
      </c>
      <c r="B1456" t="s">
        <v>7</v>
      </c>
      <c r="C1456" s="3">
        <v>1099887.0790859</v>
      </c>
      <c r="D1456" s="3">
        <v>1103446</v>
      </c>
      <c r="E1456" s="3">
        <v>651802.62200531305</v>
      </c>
      <c r="F1456" s="3">
        <v>1590239.6642700201</v>
      </c>
      <c r="G1456" s="1">
        <v>45138</v>
      </c>
      <c r="H1456" s="2">
        <v>45108</v>
      </c>
    </row>
    <row r="1457" spans="1:8" hidden="1" x14ac:dyDescent="0.45">
      <c r="A1457">
        <v>1455</v>
      </c>
      <c r="B1457" t="s">
        <v>8</v>
      </c>
      <c r="C1457" s="3">
        <v>1124641.3106106899</v>
      </c>
      <c r="D1457" s="3">
        <v>1096658.6599999999</v>
      </c>
      <c r="E1457" s="3">
        <v>631950.88160884997</v>
      </c>
      <c r="F1457" s="3">
        <v>1696802.8489675501</v>
      </c>
      <c r="G1457" s="1">
        <v>45138</v>
      </c>
      <c r="H1457" s="2">
        <v>45139</v>
      </c>
    </row>
    <row r="1458" spans="1:8" hidden="1" x14ac:dyDescent="0.45">
      <c r="A1458">
        <v>1456</v>
      </c>
      <c r="B1458" t="s">
        <v>8</v>
      </c>
      <c r="C1458" s="3">
        <v>1018260.5644614201</v>
      </c>
      <c r="D1458" s="3">
        <v>1201308.3</v>
      </c>
      <c r="E1458" s="3">
        <v>562335.85814930801</v>
      </c>
      <c r="F1458" s="3">
        <v>1536274.4058278401</v>
      </c>
      <c r="G1458" s="1">
        <v>45138</v>
      </c>
      <c r="H1458" s="2">
        <v>45170</v>
      </c>
    </row>
    <row r="1459" spans="1:8" hidden="1" x14ac:dyDescent="0.45">
      <c r="A1459">
        <v>1457</v>
      </c>
      <c r="B1459" t="s">
        <v>8</v>
      </c>
      <c r="C1459" s="3">
        <v>880971.90563296003</v>
      </c>
      <c r="D1459" s="3">
        <v>1059110.57</v>
      </c>
      <c r="E1459" s="3">
        <v>459318.26699034101</v>
      </c>
      <c r="F1459" s="3">
        <v>1352457.92943137</v>
      </c>
      <c r="G1459" s="1">
        <v>45138</v>
      </c>
      <c r="H1459" s="2">
        <v>45200</v>
      </c>
    </row>
    <row r="1460" spans="1:8" hidden="1" x14ac:dyDescent="0.45">
      <c r="A1460">
        <v>1458</v>
      </c>
      <c r="B1460" t="s">
        <v>8</v>
      </c>
      <c r="C1460" s="3">
        <v>1839748.6392612201</v>
      </c>
      <c r="D1460" s="3">
        <v>1759697.22</v>
      </c>
      <c r="E1460" s="3">
        <v>1081670.7480159099</v>
      </c>
      <c r="F1460" s="3">
        <v>2675798.8051783</v>
      </c>
      <c r="G1460" s="1">
        <v>45138</v>
      </c>
      <c r="H1460" s="2">
        <v>45231</v>
      </c>
    </row>
    <row r="1461" spans="1:8" hidden="1" x14ac:dyDescent="0.45">
      <c r="A1461">
        <v>1459</v>
      </c>
      <c r="B1461" t="s">
        <v>8</v>
      </c>
      <c r="C1461" s="3">
        <v>516331.41946059902</v>
      </c>
      <c r="D1461" s="3">
        <v>759767.799999999</v>
      </c>
      <c r="E1461" s="3">
        <v>246788.56489310099</v>
      </c>
      <c r="F1461" s="3">
        <v>831750.38594685798</v>
      </c>
      <c r="G1461" s="1">
        <v>45138</v>
      </c>
      <c r="H1461" s="2">
        <v>45261</v>
      </c>
    </row>
    <row r="1462" spans="1:8" hidden="1" x14ac:dyDescent="0.45">
      <c r="A1462">
        <v>1460</v>
      </c>
      <c r="B1462" t="s">
        <v>8</v>
      </c>
      <c r="C1462" s="3">
        <v>972302.352470304</v>
      </c>
      <c r="D1462" s="3">
        <v>1155680.74</v>
      </c>
      <c r="E1462" s="3">
        <v>529745.86385318195</v>
      </c>
      <c r="F1462" s="3">
        <v>1466954.7262836399</v>
      </c>
      <c r="G1462" s="1">
        <v>45138</v>
      </c>
      <c r="H1462" s="2">
        <v>45292</v>
      </c>
    </row>
    <row r="1463" spans="1:8" hidden="1" x14ac:dyDescent="0.45">
      <c r="A1463">
        <v>1461</v>
      </c>
      <c r="B1463" t="s">
        <v>8</v>
      </c>
      <c r="C1463" s="3">
        <v>795594.91244269302</v>
      </c>
      <c r="D1463" s="3">
        <v>784172.30999999901</v>
      </c>
      <c r="E1463" s="3">
        <v>415529.79786756297</v>
      </c>
      <c r="F1463" s="3">
        <v>1210740.36601374</v>
      </c>
      <c r="G1463" s="1">
        <v>45138</v>
      </c>
      <c r="H1463" s="2">
        <v>45323</v>
      </c>
    </row>
    <row r="1464" spans="1:8" hidden="1" x14ac:dyDescent="0.45">
      <c r="A1464">
        <v>1462</v>
      </c>
      <c r="B1464" t="s">
        <v>8</v>
      </c>
      <c r="C1464" s="3">
        <v>1116014.7873327299</v>
      </c>
      <c r="D1464" s="3">
        <v>792124.04</v>
      </c>
      <c r="E1464" s="3">
        <v>635310.913422468</v>
      </c>
      <c r="F1464" s="3">
        <v>1634352.39677755</v>
      </c>
      <c r="G1464" s="1">
        <v>45138</v>
      </c>
      <c r="H1464" s="2">
        <v>45352</v>
      </c>
    </row>
    <row r="1465" spans="1:8" hidden="1" x14ac:dyDescent="0.45">
      <c r="A1465">
        <v>1463</v>
      </c>
      <c r="B1465" t="s">
        <v>8</v>
      </c>
      <c r="C1465" s="3">
        <v>596653.88747706602</v>
      </c>
      <c r="D1465" s="3">
        <v>1206334.18</v>
      </c>
      <c r="E1465" s="3">
        <v>301577.62403026503</v>
      </c>
      <c r="F1465" s="3">
        <v>945059.53560469195</v>
      </c>
      <c r="G1465" s="1">
        <v>45138</v>
      </c>
      <c r="H1465" s="2">
        <v>45383</v>
      </c>
    </row>
    <row r="1466" spans="1:8" hidden="1" x14ac:dyDescent="0.45">
      <c r="A1466">
        <v>1464</v>
      </c>
      <c r="B1466" t="s">
        <v>8</v>
      </c>
      <c r="C1466" s="3">
        <v>788753.06811504299</v>
      </c>
      <c r="D1466" s="3">
        <v>669108.32999999996</v>
      </c>
      <c r="E1466" s="3">
        <v>434592.40928206302</v>
      </c>
      <c r="F1466" s="3">
        <v>1180099.34583931</v>
      </c>
      <c r="G1466" s="1">
        <v>45138</v>
      </c>
      <c r="H1466" s="2">
        <v>45413</v>
      </c>
    </row>
    <row r="1467" spans="1:8" hidden="1" x14ac:dyDescent="0.45">
      <c r="A1467">
        <v>1465</v>
      </c>
      <c r="B1467" t="s">
        <v>8</v>
      </c>
      <c r="C1467" s="3">
        <v>839726.84437550802</v>
      </c>
      <c r="D1467" s="3">
        <v>682673.39</v>
      </c>
      <c r="E1467" s="3">
        <v>463350.90417163802</v>
      </c>
      <c r="F1467" s="3">
        <v>1234797.0562694501</v>
      </c>
      <c r="G1467" s="1">
        <v>45138</v>
      </c>
      <c r="H1467" s="2">
        <v>45444</v>
      </c>
    </row>
    <row r="1468" spans="1:8" hidden="1" x14ac:dyDescent="0.45">
      <c r="A1468">
        <v>1466</v>
      </c>
      <c r="B1468" t="s">
        <v>8</v>
      </c>
      <c r="C1468" s="3">
        <v>906562.02878775506</v>
      </c>
      <c r="D1468" s="3">
        <v>748923.18</v>
      </c>
      <c r="E1468" s="3">
        <v>508028.618385498</v>
      </c>
      <c r="F1468" s="3">
        <v>1314471.9190886</v>
      </c>
      <c r="G1468" s="1">
        <v>45138</v>
      </c>
      <c r="H1468" s="2">
        <v>45474</v>
      </c>
    </row>
    <row r="1469" spans="1:8" hidden="1" x14ac:dyDescent="0.45">
      <c r="A1469">
        <v>1467</v>
      </c>
      <c r="B1469" t="s">
        <v>8</v>
      </c>
      <c r="C1469" s="3">
        <v>975006.29240808997</v>
      </c>
      <c r="D1469" s="3">
        <v>714973.87</v>
      </c>
      <c r="E1469" s="3">
        <v>525774.01402373996</v>
      </c>
      <c r="F1469" s="3">
        <v>1489221.7457059801</v>
      </c>
      <c r="G1469" s="1">
        <v>45138</v>
      </c>
      <c r="H1469" s="2">
        <v>45505</v>
      </c>
    </row>
    <row r="1470" spans="1:8" hidden="1" x14ac:dyDescent="0.45">
      <c r="A1470">
        <v>1468</v>
      </c>
      <c r="B1470" t="s">
        <v>8</v>
      </c>
      <c r="C1470" s="3">
        <v>890943.34776900802</v>
      </c>
      <c r="D1470" s="3">
        <v>1281207.98</v>
      </c>
      <c r="E1470" s="3">
        <v>482778.99819720897</v>
      </c>
      <c r="F1470" s="3">
        <v>1350207.56169945</v>
      </c>
      <c r="G1470" s="1">
        <v>45138</v>
      </c>
      <c r="H1470" s="2">
        <v>45536</v>
      </c>
    </row>
    <row r="1471" spans="1:8" hidden="1" x14ac:dyDescent="0.45">
      <c r="A1471">
        <v>1469</v>
      </c>
      <c r="B1471" t="s">
        <v>8</v>
      </c>
      <c r="C1471" s="3">
        <v>784832.58837877098</v>
      </c>
      <c r="D1471" s="3">
        <v>499172.26</v>
      </c>
      <c r="E1471" s="3">
        <v>400827.17476461298</v>
      </c>
      <c r="F1471" s="3">
        <v>1216364.1866186401</v>
      </c>
      <c r="G1471" s="1">
        <v>45138</v>
      </c>
      <c r="H1471" s="2">
        <v>45566</v>
      </c>
    </row>
    <row r="1472" spans="1:8" hidden="1" x14ac:dyDescent="0.45">
      <c r="A1472">
        <v>1470</v>
      </c>
      <c r="B1472" t="s">
        <v>8</v>
      </c>
      <c r="C1472" s="3">
        <v>1622260.1229355701</v>
      </c>
      <c r="D1472" s="3"/>
      <c r="E1472" s="3">
        <v>936562.40547443402</v>
      </c>
      <c r="F1472" s="3">
        <v>2372283.52958709</v>
      </c>
      <c r="G1472" s="1">
        <v>45138</v>
      </c>
      <c r="H1472" s="2">
        <v>45597</v>
      </c>
    </row>
    <row r="1473" spans="1:8" hidden="1" x14ac:dyDescent="0.45">
      <c r="A1473">
        <v>1471</v>
      </c>
      <c r="B1473" t="s">
        <v>8</v>
      </c>
      <c r="C1473" s="3">
        <v>469281.90700997302</v>
      </c>
      <c r="D1473" s="3"/>
      <c r="E1473" s="3">
        <v>226027.81881351699</v>
      </c>
      <c r="F1473" s="3">
        <v>761887.66314805299</v>
      </c>
      <c r="G1473" s="1">
        <v>45138</v>
      </c>
      <c r="H1473" s="2">
        <v>45627</v>
      </c>
    </row>
    <row r="1474" spans="1:8" hidden="1" x14ac:dyDescent="0.45">
      <c r="A1474">
        <v>1472</v>
      </c>
      <c r="B1474" t="s">
        <v>8</v>
      </c>
      <c r="C1474" s="3">
        <v>887212.01124465198</v>
      </c>
      <c r="D1474" s="3"/>
      <c r="E1474" s="3">
        <v>480597.14453870401</v>
      </c>
      <c r="F1474" s="3">
        <v>1343332.55872968</v>
      </c>
      <c r="G1474" s="1">
        <v>45138</v>
      </c>
      <c r="H1474" s="2">
        <v>45658</v>
      </c>
    </row>
    <row r="1475" spans="1:8" hidden="1" x14ac:dyDescent="0.45">
      <c r="A1475">
        <v>1473</v>
      </c>
      <c r="B1475" t="s">
        <v>8</v>
      </c>
      <c r="C1475" s="3">
        <v>732194.09888002905</v>
      </c>
      <c r="D1475" s="3"/>
      <c r="E1475" s="3">
        <v>381073.55358889402</v>
      </c>
      <c r="F1475" s="3">
        <v>1120043.5461189901</v>
      </c>
      <c r="G1475" s="1">
        <v>45138</v>
      </c>
      <c r="H1475" s="2">
        <v>45689</v>
      </c>
    </row>
    <row r="1476" spans="1:8" hidden="1" x14ac:dyDescent="0.45">
      <c r="A1476">
        <v>1474</v>
      </c>
      <c r="B1476" t="s">
        <v>8</v>
      </c>
      <c r="C1476" s="3">
        <v>1017058.00455336</v>
      </c>
      <c r="D1476" s="3"/>
      <c r="E1476" s="3">
        <v>585674.15912902099</v>
      </c>
      <c r="F1476" s="3">
        <v>1498187.18823178</v>
      </c>
      <c r="G1476" s="1">
        <v>45138</v>
      </c>
      <c r="H1476" s="2">
        <v>45717</v>
      </c>
    </row>
    <row r="1477" spans="1:8" hidden="1" x14ac:dyDescent="0.45">
      <c r="A1477">
        <v>1475</v>
      </c>
      <c r="B1477" t="s">
        <v>8</v>
      </c>
      <c r="C1477" s="3">
        <v>556015.97258198401</v>
      </c>
      <c r="D1477" s="3"/>
      <c r="E1477" s="3">
        <v>268742.16339316103</v>
      </c>
      <c r="F1477" s="3">
        <v>869658.80655881995</v>
      </c>
      <c r="G1477" s="1">
        <v>45138</v>
      </c>
      <c r="H1477" s="2">
        <v>45748</v>
      </c>
    </row>
    <row r="1478" spans="1:8" hidden="1" x14ac:dyDescent="0.45">
      <c r="A1478">
        <v>1476</v>
      </c>
      <c r="B1478" t="s">
        <v>8</v>
      </c>
      <c r="C1478" s="3">
        <v>730190.530485339</v>
      </c>
      <c r="D1478" s="3"/>
      <c r="E1478" s="3">
        <v>403384.28690731601</v>
      </c>
      <c r="F1478" s="3">
        <v>1096700.8154410201</v>
      </c>
      <c r="G1478" s="1">
        <v>45138</v>
      </c>
      <c r="H1478" s="2">
        <v>45778</v>
      </c>
    </row>
    <row r="1479" spans="1:8" hidden="1" x14ac:dyDescent="0.45">
      <c r="A1479">
        <v>1477</v>
      </c>
      <c r="B1479" t="s">
        <v>8</v>
      </c>
      <c r="C1479" s="3">
        <v>780453.81007825304</v>
      </c>
      <c r="D1479" s="3"/>
      <c r="E1479" s="3">
        <v>436872.27764182899</v>
      </c>
      <c r="F1479" s="3">
        <v>1151741.9840273</v>
      </c>
      <c r="G1479" s="1">
        <v>45138</v>
      </c>
      <c r="H1479" s="2">
        <v>45809</v>
      </c>
    </row>
    <row r="1480" spans="1:8" hidden="1" x14ac:dyDescent="0.45">
      <c r="A1480">
        <v>1478</v>
      </c>
      <c r="B1480" t="s">
        <v>8</v>
      </c>
      <c r="C1480" s="3">
        <v>845387.40331955103</v>
      </c>
      <c r="D1480" s="3"/>
      <c r="E1480" s="3">
        <v>477229.23293076101</v>
      </c>
      <c r="F1480" s="3">
        <v>1225483.06969075</v>
      </c>
      <c r="G1480" s="1">
        <v>45138</v>
      </c>
      <c r="H1480" s="2">
        <v>45839</v>
      </c>
    </row>
    <row r="1481" spans="1:8" hidden="1" x14ac:dyDescent="0.45">
      <c r="A1481">
        <v>1479</v>
      </c>
      <c r="B1481" t="s">
        <v>8</v>
      </c>
      <c r="C1481" s="3">
        <v>908549.40257486806</v>
      </c>
      <c r="D1481" s="3"/>
      <c r="E1481" s="3">
        <v>487657.53829975199</v>
      </c>
      <c r="F1481" s="3">
        <v>1389843.2288851901</v>
      </c>
      <c r="G1481" s="1">
        <v>45138</v>
      </c>
      <c r="H1481" s="2">
        <v>45870</v>
      </c>
    </row>
    <row r="1482" spans="1:8" hidden="1" x14ac:dyDescent="0.45">
      <c r="A1482">
        <v>1480</v>
      </c>
      <c r="B1482" t="s">
        <v>8</v>
      </c>
      <c r="C1482" s="3">
        <v>831842.84083357605</v>
      </c>
      <c r="D1482" s="3"/>
      <c r="E1482" s="3">
        <v>455140.87940108997</v>
      </c>
      <c r="F1482" s="3">
        <v>1262635.1080480199</v>
      </c>
      <c r="G1482" s="1">
        <v>45138</v>
      </c>
      <c r="H1482" s="2">
        <v>45901</v>
      </c>
    </row>
    <row r="1483" spans="1:8" hidden="1" x14ac:dyDescent="0.45">
      <c r="A1483">
        <v>1481</v>
      </c>
      <c r="B1483" t="s">
        <v>8</v>
      </c>
      <c r="C1483" s="3">
        <v>731635.33453315601</v>
      </c>
      <c r="D1483" s="3"/>
      <c r="E1483" s="3">
        <v>375264.30861052702</v>
      </c>
      <c r="F1483" s="3">
        <v>1133024.7470191801</v>
      </c>
      <c r="G1483" s="1">
        <v>45138</v>
      </c>
      <c r="H1483" s="2">
        <v>45931</v>
      </c>
    </row>
    <row r="1484" spans="1:8" hidden="1" x14ac:dyDescent="0.45">
      <c r="A1484">
        <v>1482</v>
      </c>
      <c r="B1484" t="s">
        <v>7</v>
      </c>
      <c r="C1484" s="3">
        <v>143877.72915964099</v>
      </c>
      <c r="D1484" s="3">
        <v>28250.62</v>
      </c>
      <c r="E1484" s="3">
        <v>91105.987961618899</v>
      </c>
      <c r="F1484" s="3">
        <v>207160.794686701</v>
      </c>
      <c r="G1484" s="1">
        <v>45169</v>
      </c>
      <c r="H1484" s="2">
        <v>44228</v>
      </c>
    </row>
    <row r="1485" spans="1:8" hidden="1" x14ac:dyDescent="0.45">
      <c r="A1485">
        <v>1483</v>
      </c>
      <c r="B1485" t="s">
        <v>7</v>
      </c>
      <c r="C1485" s="3">
        <v>287602.37980226602</v>
      </c>
      <c r="D1485" s="3">
        <v>36247.919999999998</v>
      </c>
      <c r="E1485" s="3">
        <v>195058.243563361</v>
      </c>
      <c r="F1485" s="3">
        <v>390263.93559078802</v>
      </c>
      <c r="G1485" s="1">
        <v>45169</v>
      </c>
      <c r="H1485" s="2">
        <v>44256</v>
      </c>
    </row>
    <row r="1486" spans="1:8" hidden="1" x14ac:dyDescent="0.45">
      <c r="A1486">
        <v>1484</v>
      </c>
      <c r="B1486" t="s">
        <v>7</v>
      </c>
      <c r="C1486" s="3">
        <v>139618.40349387599</v>
      </c>
      <c r="D1486" s="3">
        <v>14721.48</v>
      </c>
      <c r="E1486" s="3">
        <v>71381.796326868003</v>
      </c>
      <c r="F1486" s="3">
        <v>209326.580619677</v>
      </c>
      <c r="G1486" s="1">
        <v>45169</v>
      </c>
      <c r="H1486" s="2">
        <v>44287</v>
      </c>
    </row>
    <row r="1487" spans="1:8" hidden="1" x14ac:dyDescent="0.45">
      <c r="A1487">
        <v>1485</v>
      </c>
      <c r="B1487" t="s">
        <v>7</v>
      </c>
      <c r="C1487" s="3">
        <v>210004.43626045401</v>
      </c>
      <c r="D1487" s="3">
        <v>94346.71</v>
      </c>
      <c r="E1487" s="3">
        <v>123700.979775682</v>
      </c>
      <c r="F1487" s="3">
        <v>308701.87798170099</v>
      </c>
      <c r="G1487" s="1">
        <v>45169</v>
      </c>
      <c r="H1487" s="2">
        <v>44317</v>
      </c>
    </row>
    <row r="1488" spans="1:8" hidden="1" x14ac:dyDescent="0.45">
      <c r="A1488">
        <v>1486</v>
      </c>
      <c r="B1488" t="s">
        <v>7</v>
      </c>
      <c r="C1488" s="3">
        <v>434145.75123444502</v>
      </c>
      <c r="D1488" s="3">
        <v>970740.72</v>
      </c>
      <c r="E1488" s="3">
        <v>277968.70297341101</v>
      </c>
      <c r="F1488" s="3">
        <v>604644.70478846901</v>
      </c>
      <c r="G1488" s="1">
        <v>45169</v>
      </c>
      <c r="H1488" s="2">
        <v>44348</v>
      </c>
    </row>
    <row r="1489" spans="1:8" hidden="1" x14ac:dyDescent="0.45">
      <c r="A1489">
        <v>1487</v>
      </c>
      <c r="B1489" t="s">
        <v>7</v>
      </c>
      <c r="C1489" s="3">
        <v>1012776.6843543201</v>
      </c>
      <c r="D1489" s="3">
        <v>1798271.24</v>
      </c>
      <c r="E1489" s="3">
        <v>708067.73792608501</v>
      </c>
      <c r="F1489" s="3">
        <v>1337890.56247319</v>
      </c>
      <c r="G1489" s="1">
        <v>45169</v>
      </c>
      <c r="H1489" s="2">
        <v>44378</v>
      </c>
    </row>
    <row r="1490" spans="1:8" hidden="1" x14ac:dyDescent="0.45">
      <c r="A1490">
        <v>1488</v>
      </c>
      <c r="B1490" t="s">
        <v>7</v>
      </c>
      <c r="C1490" s="3">
        <v>1009032.95608332</v>
      </c>
      <c r="D1490" s="3">
        <v>700449.31</v>
      </c>
      <c r="E1490" s="3">
        <v>676981.65138361801</v>
      </c>
      <c r="F1490" s="3">
        <v>1369084.50223838</v>
      </c>
      <c r="G1490" s="1">
        <v>45169</v>
      </c>
      <c r="H1490" s="2">
        <v>44409</v>
      </c>
    </row>
    <row r="1491" spans="1:8" hidden="1" x14ac:dyDescent="0.45">
      <c r="A1491">
        <v>1489</v>
      </c>
      <c r="B1491" t="s">
        <v>7</v>
      </c>
      <c r="C1491" s="3">
        <v>1094849.12454143</v>
      </c>
      <c r="D1491" s="3">
        <v>1784906.52</v>
      </c>
      <c r="E1491" s="3">
        <v>695602.14451252494</v>
      </c>
      <c r="F1491" s="3">
        <v>1531845.7229184399</v>
      </c>
      <c r="G1491" s="1">
        <v>45169</v>
      </c>
      <c r="H1491" s="2">
        <v>44440</v>
      </c>
    </row>
    <row r="1492" spans="1:8" hidden="1" x14ac:dyDescent="0.45">
      <c r="A1492">
        <v>1490</v>
      </c>
      <c r="B1492" t="s">
        <v>7</v>
      </c>
      <c r="C1492" s="3">
        <v>976292.51993926405</v>
      </c>
      <c r="D1492" s="3">
        <v>706422.77</v>
      </c>
      <c r="E1492" s="3">
        <v>600998.75842740596</v>
      </c>
      <c r="F1492" s="3">
        <v>1378715.5258939301</v>
      </c>
      <c r="G1492" s="1">
        <v>45169</v>
      </c>
      <c r="H1492" s="2">
        <v>44470</v>
      </c>
    </row>
    <row r="1493" spans="1:8" hidden="1" x14ac:dyDescent="0.45">
      <c r="A1493">
        <v>1491</v>
      </c>
      <c r="B1493" t="s">
        <v>7</v>
      </c>
      <c r="C1493" s="3">
        <v>2162142.3770696302</v>
      </c>
      <c r="D1493" s="3">
        <v>3115611.92</v>
      </c>
      <c r="E1493" s="3">
        <v>1545812.70720712</v>
      </c>
      <c r="F1493" s="3">
        <v>2809234.8940476901</v>
      </c>
      <c r="G1493" s="1">
        <v>45169</v>
      </c>
      <c r="H1493" s="2">
        <v>44501</v>
      </c>
    </row>
    <row r="1494" spans="1:8" hidden="1" x14ac:dyDescent="0.45">
      <c r="A1494">
        <v>1492</v>
      </c>
      <c r="B1494" t="s">
        <v>7</v>
      </c>
      <c r="C1494" s="3">
        <v>712810.67158382898</v>
      </c>
      <c r="D1494" s="3">
        <v>227049.91</v>
      </c>
      <c r="E1494" s="3">
        <v>409490.02097544901</v>
      </c>
      <c r="F1494" s="3">
        <v>1078229.67569559</v>
      </c>
      <c r="G1494" s="1">
        <v>45169</v>
      </c>
      <c r="H1494" s="2">
        <v>44531</v>
      </c>
    </row>
    <row r="1495" spans="1:8" hidden="1" x14ac:dyDescent="0.45">
      <c r="A1495">
        <v>1493</v>
      </c>
      <c r="B1495" t="s">
        <v>7</v>
      </c>
      <c r="C1495" s="3">
        <v>1297817.84772916</v>
      </c>
      <c r="D1495" s="3">
        <v>1231496.1499999999</v>
      </c>
      <c r="E1495" s="3">
        <v>827602.02518524299</v>
      </c>
      <c r="F1495" s="3">
        <v>1823221.11562211</v>
      </c>
      <c r="G1495" s="1">
        <v>45169</v>
      </c>
      <c r="H1495" s="2">
        <v>44562</v>
      </c>
    </row>
    <row r="1496" spans="1:8" hidden="1" x14ac:dyDescent="0.45">
      <c r="A1496">
        <v>1494</v>
      </c>
      <c r="B1496" t="s">
        <v>7</v>
      </c>
      <c r="C1496" s="3">
        <v>1065952.2565877901</v>
      </c>
      <c r="D1496" s="3">
        <v>1031231.86</v>
      </c>
      <c r="E1496" s="3">
        <v>634412.64109981898</v>
      </c>
      <c r="F1496" s="3">
        <v>1538163.6590249301</v>
      </c>
      <c r="G1496" s="1">
        <v>45169</v>
      </c>
      <c r="H1496" s="2">
        <v>44593</v>
      </c>
    </row>
    <row r="1497" spans="1:8" hidden="1" x14ac:dyDescent="0.45">
      <c r="A1497">
        <v>1495</v>
      </c>
      <c r="B1497" t="s">
        <v>7</v>
      </c>
      <c r="C1497" s="3">
        <v>1799695.32241733</v>
      </c>
      <c r="D1497" s="3">
        <v>2866780.02</v>
      </c>
      <c r="E1497" s="3">
        <v>1205419.5713352801</v>
      </c>
      <c r="F1497" s="3">
        <v>2444843.0137717701</v>
      </c>
      <c r="G1497" s="1">
        <v>45169</v>
      </c>
      <c r="H1497" s="2">
        <v>44621</v>
      </c>
    </row>
    <row r="1498" spans="1:8" hidden="1" x14ac:dyDescent="0.45">
      <c r="A1498">
        <v>1496</v>
      </c>
      <c r="B1498" t="s">
        <v>7</v>
      </c>
      <c r="C1498" s="3">
        <v>803115.08836170495</v>
      </c>
      <c r="D1498" s="3">
        <v>106305.83</v>
      </c>
      <c r="E1498" s="3">
        <v>436889.14296630298</v>
      </c>
      <c r="F1498" s="3">
        <v>1197629.00860653</v>
      </c>
      <c r="G1498" s="1">
        <v>45169</v>
      </c>
      <c r="H1498" s="2">
        <v>44652</v>
      </c>
    </row>
    <row r="1499" spans="1:8" hidden="1" x14ac:dyDescent="0.45">
      <c r="A1499">
        <v>1497</v>
      </c>
      <c r="B1499" t="s">
        <v>7</v>
      </c>
      <c r="C1499" s="3">
        <v>1085027.9491748901</v>
      </c>
      <c r="D1499" s="3">
        <v>667164.73</v>
      </c>
      <c r="E1499" s="3">
        <v>658889.34890884405</v>
      </c>
      <c r="F1499" s="3">
        <v>1557168.16120559</v>
      </c>
      <c r="G1499" s="1">
        <v>45169</v>
      </c>
      <c r="H1499" s="2">
        <v>44682</v>
      </c>
    </row>
    <row r="1500" spans="1:8" hidden="1" x14ac:dyDescent="0.45">
      <c r="A1500">
        <v>1498</v>
      </c>
      <c r="B1500" t="s">
        <v>7</v>
      </c>
      <c r="C1500" s="3">
        <v>1246790.0738251701</v>
      </c>
      <c r="D1500" s="3">
        <v>1398761.09</v>
      </c>
      <c r="E1500" s="3">
        <v>770993.51730941399</v>
      </c>
      <c r="F1500" s="3">
        <v>1772279.60454082</v>
      </c>
      <c r="G1500" s="1">
        <v>45169</v>
      </c>
      <c r="H1500" s="2">
        <v>44713</v>
      </c>
    </row>
    <row r="1501" spans="1:8" hidden="1" x14ac:dyDescent="0.45">
      <c r="A1501">
        <v>1499</v>
      </c>
      <c r="B1501" t="s">
        <v>7</v>
      </c>
      <c r="C1501" s="3">
        <v>1401324.8483440101</v>
      </c>
      <c r="D1501" s="3">
        <v>931475.54</v>
      </c>
      <c r="E1501" s="3">
        <v>880272.62808488496</v>
      </c>
      <c r="F1501" s="3">
        <v>1992102.9747627501</v>
      </c>
      <c r="G1501" s="1">
        <v>45169</v>
      </c>
      <c r="H1501" s="2">
        <v>44743</v>
      </c>
    </row>
    <row r="1502" spans="1:8" hidden="1" x14ac:dyDescent="0.45">
      <c r="A1502">
        <v>1500</v>
      </c>
      <c r="B1502" t="s">
        <v>7</v>
      </c>
      <c r="C1502" s="3">
        <v>1233617.05860128</v>
      </c>
      <c r="D1502" s="3">
        <v>1335916.6499999999</v>
      </c>
      <c r="E1502" s="3">
        <v>758633.353005899</v>
      </c>
      <c r="F1502" s="3">
        <v>1744625.6329395699</v>
      </c>
      <c r="G1502" s="1">
        <v>45169</v>
      </c>
      <c r="H1502" s="2">
        <v>44774</v>
      </c>
    </row>
    <row r="1503" spans="1:8" hidden="1" x14ac:dyDescent="0.45">
      <c r="A1503">
        <v>1501</v>
      </c>
      <c r="B1503" t="s">
        <v>7</v>
      </c>
      <c r="C1503" s="3">
        <v>1186646.1781760301</v>
      </c>
      <c r="D1503" s="3">
        <v>976647.27</v>
      </c>
      <c r="E1503" s="3">
        <v>691118.16079688503</v>
      </c>
      <c r="F1503" s="3">
        <v>1717930.7459223601</v>
      </c>
      <c r="G1503" s="1">
        <v>45169</v>
      </c>
      <c r="H1503" s="2">
        <v>44805</v>
      </c>
    </row>
    <row r="1504" spans="1:8" hidden="1" x14ac:dyDescent="0.45">
      <c r="A1504">
        <v>1502</v>
      </c>
      <c r="B1504" t="s">
        <v>7</v>
      </c>
      <c r="C1504" s="3">
        <v>1020510.58971682</v>
      </c>
      <c r="D1504" s="3">
        <v>975982.86</v>
      </c>
      <c r="E1504" s="3">
        <v>584622.34095212095</v>
      </c>
      <c r="F1504" s="3">
        <v>1494469.5060208801</v>
      </c>
      <c r="G1504" s="1">
        <v>45169</v>
      </c>
      <c r="H1504" s="2">
        <v>44835</v>
      </c>
    </row>
    <row r="1505" spans="1:8" hidden="1" x14ac:dyDescent="0.45">
      <c r="A1505">
        <v>1503</v>
      </c>
      <c r="B1505" t="s">
        <v>7</v>
      </c>
      <c r="C1505" s="3">
        <v>2216216.9332177001</v>
      </c>
      <c r="D1505" s="3">
        <v>2010415.16</v>
      </c>
      <c r="E1505" s="3">
        <v>1429093.3206477901</v>
      </c>
      <c r="F1505" s="3">
        <v>3037109.4218396102</v>
      </c>
      <c r="G1505" s="1">
        <v>45169</v>
      </c>
      <c r="H1505" s="2">
        <v>44866</v>
      </c>
    </row>
    <row r="1506" spans="1:8" hidden="1" x14ac:dyDescent="0.45">
      <c r="A1506">
        <v>1504</v>
      </c>
      <c r="B1506" t="s">
        <v>7</v>
      </c>
      <c r="C1506" s="3">
        <v>625420.03579672705</v>
      </c>
      <c r="D1506" s="3">
        <v>348929.42</v>
      </c>
      <c r="E1506" s="3">
        <v>333056.25742266298</v>
      </c>
      <c r="F1506" s="3">
        <v>957589.38873604196</v>
      </c>
      <c r="G1506" s="1">
        <v>45169</v>
      </c>
      <c r="H1506" s="2">
        <v>44896</v>
      </c>
    </row>
    <row r="1507" spans="1:8" hidden="1" x14ac:dyDescent="0.45">
      <c r="A1507">
        <v>1505</v>
      </c>
      <c r="B1507" t="s">
        <v>7</v>
      </c>
      <c r="C1507" s="3">
        <v>1150658.64060352</v>
      </c>
      <c r="D1507" s="3">
        <v>1096298.6399999999</v>
      </c>
      <c r="E1507" s="3">
        <v>666979.89071594703</v>
      </c>
      <c r="F1507" s="3">
        <v>1661961.78802327</v>
      </c>
      <c r="G1507" s="1">
        <v>45169</v>
      </c>
      <c r="H1507" s="2">
        <v>44927</v>
      </c>
    </row>
    <row r="1508" spans="1:8" hidden="1" x14ac:dyDescent="0.45">
      <c r="A1508">
        <v>1506</v>
      </c>
      <c r="B1508" t="s">
        <v>7</v>
      </c>
      <c r="C1508" s="3">
        <v>934393.29592015594</v>
      </c>
      <c r="D1508" s="3">
        <v>1036928.47</v>
      </c>
      <c r="E1508" s="3">
        <v>529167.68907664099</v>
      </c>
      <c r="F1508" s="3">
        <v>1373983.8328690899</v>
      </c>
      <c r="G1508" s="1">
        <v>45169</v>
      </c>
      <c r="H1508" s="2">
        <v>44958</v>
      </c>
    </row>
    <row r="1509" spans="1:8" hidden="1" x14ac:dyDescent="0.45">
      <c r="A1509">
        <v>1507</v>
      </c>
      <c r="B1509" t="s">
        <v>7</v>
      </c>
      <c r="C1509" s="3">
        <v>1442319.8993687399</v>
      </c>
      <c r="D1509" s="3">
        <v>660363.89</v>
      </c>
      <c r="E1509" s="3">
        <v>873620.32203356805</v>
      </c>
      <c r="F1509" s="3">
        <v>2045506.23263323</v>
      </c>
      <c r="G1509" s="1">
        <v>45169</v>
      </c>
      <c r="H1509" s="2">
        <v>44986</v>
      </c>
    </row>
    <row r="1510" spans="1:8" hidden="1" x14ac:dyDescent="0.45">
      <c r="A1510">
        <v>1508</v>
      </c>
      <c r="B1510" t="s">
        <v>7</v>
      </c>
      <c r="C1510" s="3">
        <v>688998.49921306502</v>
      </c>
      <c r="D1510" s="3">
        <v>1093282.48</v>
      </c>
      <c r="E1510" s="3">
        <v>364293.49006156798</v>
      </c>
      <c r="F1510" s="3">
        <v>1038009.08008048</v>
      </c>
      <c r="G1510" s="1">
        <v>45169</v>
      </c>
      <c r="H1510" s="2">
        <v>45017</v>
      </c>
    </row>
    <row r="1511" spans="1:8" hidden="1" x14ac:dyDescent="0.45">
      <c r="A1511">
        <v>1509</v>
      </c>
      <c r="B1511" t="s">
        <v>7</v>
      </c>
      <c r="C1511" s="3">
        <v>939044.48647321202</v>
      </c>
      <c r="D1511" s="3">
        <v>1212297.6200000001</v>
      </c>
      <c r="E1511" s="3">
        <v>544406.43664565799</v>
      </c>
      <c r="F1511" s="3">
        <v>1369311.4802905</v>
      </c>
      <c r="G1511" s="1">
        <v>45169</v>
      </c>
      <c r="H1511" s="2">
        <v>45047</v>
      </c>
    </row>
    <row r="1512" spans="1:8" hidden="1" x14ac:dyDescent="0.45">
      <c r="A1512">
        <v>1510</v>
      </c>
      <c r="B1512" t="s">
        <v>7</v>
      </c>
      <c r="C1512" s="3">
        <v>1026313.21556398</v>
      </c>
      <c r="D1512" s="3">
        <v>1041503.83</v>
      </c>
      <c r="E1512" s="3">
        <v>599680.47628516005</v>
      </c>
      <c r="F1512" s="3">
        <v>1488638.0510781801</v>
      </c>
      <c r="G1512" s="1">
        <v>45169</v>
      </c>
      <c r="H1512" s="2">
        <v>45078</v>
      </c>
    </row>
    <row r="1513" spans="1:8" hidden="1" x14ac:dyDescent="0.45">
      <c r="A1513">
        <v>1511</v>
      </c>
      <c r="B1513" t="s">
        <v>7</v>
      </c>
      <c r="C1513" s="3">
        <v>1144169.4729025001</v>
      </c>
      <c r="D1513" s="3">
        <v>1103446</v>
      </c>
      <c r="E1513" s="3">
        <v>667536.85319939698</v>
      </c>
      <c r="F1513" s="3">
        <v>1645289.9739910199</v>
      </c>
      <c r="G1513" s="1">
        <v>45169</v>
      </c>
      <c r="H1513" s="2">
        <v>45108</v>
      </c>
    </row>
    <row r="1514" spans="1:8" hidden="1" x14ac:dyDescent="0.45">
      <c r="A1514">
        <v>1512</v>
      </c>
      <c r="B1514" t="s">
        <v>7</v>
      </c>
      <c r="C1514" s="3">
        <v>1081630.3262978699</v>
      </c>
      <c r="D1514" s="3">
        <v>1157502.68</v>
      </c>
      <c r="E1514" s="3">
        <v>641733.82541918196</v>
      </c>
      <c r="F1514" s="3">
        <v>1548316.7066526201</v>
      </c>
      <c r="G1514" s="1">
        <v>45169</v>
      </c>
      <c r="H1514" s="2">
        <v>45139</v>
      </c>
    </row>
    <row r="1515" spans="1:8" hidden="1" x14ac:dyDescent="0.45">
      <c r="A1515">
        <v>1513</v>
      </c>
      <c r="B1515" t="s">
        <v>8</v>
      </c>
      <c r="C1515" s="3">
        <v>1057887.1810204501</v>
      </c>
      <c r="D1515" s="3">
        <v>1264344.1100000001</v>
      </c>
      <c r="E1515" s="3">
        <v>539899.25418614002</v>
      </c>
      <c r="F1515" s="3">
        <v>1622194.4432520401</v>
      </c>
      <c r="G1515" s="1">
        <v>45169</v>
      </c>
      <c r="H1515" s="2">
        <v>45170</v>
      </c>
    </row>
    <row r="1516" spans="1:8" hidden="1" x14ac:dyDescent="0.45">
      <c r="A1516">
        <v>1514</v>
      </c>
      <c r="B1516" t="s">
        <v>8</v>
      </c>
      <c r="C1516" s="3">
        <v>917776.17600285995</v>
      </c>
      <c r="D1516" s="3">
        <v>1097505.32</v>
      </c>
      <c r="E1516" s="3">
        <v>483758.95993734302</v>
      </c>
      <c r="F1516" s="3">
        <v>1411135.6491260401</v>
      </c>
      <c r="G1516" s="1">
        <v>45169</v>
      </c>
      <c r="H1516" s="2">
        <v>45200</v>
      </c>
    </row>
    <row r="1517" spans="1:8" hidden="1" x14ac:dyDescent="0.45">
      <c r="A1517">
        <v>1515</v>
      </c>
      <c r="B1517" t="s">
        <v>8</v>
      </c>
      <c r="C1517" s="3">
        <v>1892216.5328085099</v>
      </c>
      <c r="D1517" s="3">
        <v>1813419.64</v>
      </c>
      <c r="E1517" s="3">
        <v>1124387.4660511799</v>
      </c>
      <c r="F1517" s="3">
        <v>2701712.9284783099</v>
      </c>
      <c r="G1517" s="1">
        <v>45169</v>
      </c>
      <c r="H1517" s="2">
        <v>45231</v>
      </c>
    </row>
    <row r="1518" spans="1:8" hidden="1" x14ac:dyDescent="0.45">
      <c r="A1518">
        <v>1516</v>
      </c>
      <c r="B1518" t="s">
        <v>8</v>
      </c>
      <c r="C1518" s="3">
        <v>537936.55181575799</v>
      </c>
      <c r="D1518" s="3">
        <v>783627.57</v>
      </c>
      <c r="E1518" s="3">
        <v>257866.393671553</v>
      </c>
      <c r="F1518" s="3">
        <v>841761.24856123305</v>
      </c>
      <c r="G1518" s="1">
        <v>45169</v>
      </c>
      <c r="H1518" s="2">
        <v>45261</v>
      </c>
    </row>
    <row r="1519" spans="1:8" hidden="1" x14ac:dyDescent="0.45">
      <c r="A1519">
        <v>1517</v>
      </c>
      <c r="B1519" t="s">
        <v>8</v>
      </c>
      <c r="C1519" s="3">
        <v>991646.33067797998</v>
      </c>
      <c r="D1519" s="3">
        <v>1196196.33</v>
      </c>
      <c r="E1519" s="3">
        <v>499870.00415659399</v>
      </c>
      <c r="F1519" s="3">
        <v>1508620.49431515</v>
      </c>
      <c r="G1519" s="1">
        <v>45169</v>
      </c>
      <c r="H1519" s="2">
        <v>45292</v>
      </c>
    </row>
    <row r="1520" spans="1:8" hidden="1" x14ac:dyDescent="0.45">
      <c r="A1520">
        <v>1518</v>
      </c>
      <c r="B1520" t="s">
        <v>8</v>
      </c>
      <c r="C1520" s="3">
        <v>819981.72107026295</v>
      </c>
      <c r="D1520" s="3">
        <v>808637.01999999897</v>
      </c>
      <c r="E1520" s="3">
        <v>431742.64611196099</v>
      </c>
      <c r="F1520" s="3">
        <v>1254652.38226949</v>
      </c>
      <c r="G1520" s="1">
        <v>45169</v>
      </c>
      <c r="H1520" s="2">
        <v>45323</v>
      </c>
    </row>
    <row r="1521" spans="1:8" hidden="1" x14ac:dyDescent="0.45">
      <c r="A1521">
        <v>1519</v>
      </c>
      <c r="B1521" t="s">
        <v>8</v>
      </c>
      <c r="C1521" s="3">
        <v>1169779.7087018101</v>
      </c>
      <c r="D1521" s="3">
        <v>820769.87</v>
      </c>
      <c r="E1521" s="3">
        <v>668183.41679610196</v>
      </c>
      <c r="F1521" s="3">
        <v>1742977.5679488201</v>
      </c>
      <c r="G1521" s="1">
        <v>45169</v>
      </c>
      <c r="H1521" s="2">
        <v>45352</v>
      </c>
    </row>
    <row r="1522" spans="1:8" hidden="1" x14ac:dyDescent="0.45">
      <c r="A1522">
        <v>1520</v>
      </c>
      <c r="B1522" t="s">
        <v>8</v>
      </c>
      <c r="C1522" s="3">
        <v>613748.44622380997</v>
      </c>
      <c r="D1522" s="3">
        <v>1243102.42</v>
      </c>
      <c r="E1522" s="3">
        <v>307246.96646116098</v>
      </c>
      <c r="F1522" s="3">
        <v>954433.910364073</v>
      </c>
      <c r="G1522" s="1">
        <v>45169</v>
      </c>
      <c r="H1522" s="2">
        <v>45383</v>
      </c>
    </row>
    <row r="1523" spans="1:8" hidden="1" x14ac:dyDescent="0.45">
      <c r="A1523">
        <v>1521</v>
      </c>
      <c r="B1523" t="s">
        <v>8</v>
      </c>
      <c r="C1523" s="3">
        <v>803450.653267944</v>
      </c>
      <c r="D1523" s="3">
        <v>692596.46</v>
      </c>
      <c r="E1523" s="3">
        <v>433847.61853061902</v>
      </c>
      <c r="F1523" s="3">
        <v>1201823.2329909301</v>
      </c>
      <c r="G1523" s="1">
        <v>45169</v>
      </c>
      <c r="H1523" s="2">
        <v>45413</v>
      </c>
    </row>
    <row r="1524" spans="1:8" hidden="1" x14ac:dyDescent="0.45">
      <c r="A1524">
        <v>1522</v>
      </c>
      <c r="B1524" t="s">
        <v>8</v>
      </c>
      <c r="C1524" s="3">
        <v>859879.08590317203</v>
      </c>
      <c r="D1524" s="3">
        <v>702633.46</v>
      </c>
      <c r="E1524" s="3">
        <v>476896.26643521199</v>
      </c>
      <c r="F1524" s="3">
        <v>1280239.1956152599</v>
      </c>
      <c r="G1524" s="1">
        <v>45169</v>
      </c>
      <c r="H1524" s="2">
        <v>45444</v>
      </c>
    </row>
    <row r="1525" spans="1:8" hidden="1" x14ac:dyDescent="0.45">
      <c r="A1525">
        <v>1523</v>
      </c>
      <c r="B1525" t="s">
        <v>8</v>
      </c>
      <c r="C1525" s="3">
        <v>941938.31985897606</v>
      </c>
      <c r="D1525" s="3">
        <v>777873.45</v>
      </c>
      <c r="E1525" s="3">
        <v>530858.31980250694</v>
      </c>
      <c r="F1525" s="3">
        <v>1390998.88993091</v>
      </c>
      <c r="G1525" s="1">
        <v>45169</v>
      </c>
      <c r="H1525" s="2">
        <v>45474</v>
      </c>
    </row>
    <row r="1526" spans="1:8" hidden="1" x14ac:dyDescent="0.45">
      <c r="A1526">
        <v>1524</v>
      </c>
      <c r="B1526" t="s">
        <v>8</v>
      </c>
      <c r="C1526" s="3">
        <v>915196.29604766704</v>
      </c>
      <c r="D1526" s="3">
        <v>752340.59</v>
      </c>
      <c r="E1526" s="3">
        <v>527975.22876921296</v>
      </c>
      <c r="F1526" s="3">
        <v>1349716.9758488601</v>
      </c>
      <c r="G1526" s="1">
        <v>45169</v>
      </c>
      <c r="H1526" s="2">
        <v>45505</v>
      </c>
    </row>
    <row r="1527" spans="1:8" hidden="1" x14ac:dyDescent="0.45">
      <c r="A1527">
        <v>1525</v>
      </c>
      <c r="B1527" t="s">
        <v>8</v>
      </c>
      <c r="C1527" s="3">
        <v>918686.35091037897</v>
      </c>
      <c r="D1527" s="3">
        <v>1320876.6299999999</v>
      </c>
      <c r="E1527" s="3">
        <v>466188.30182364699</v>
      </c>
      <c r="F1527" s="3">
        <v>1426039.51049314</v>
      </c>
      <c r="G1527" s="1">
        <v>45169</v>
      </c>
      <c r="H1527" s="2">
        <v>45536</v>
      </c>
    </row>
    <row r="1528" spans="1:8" hidden="1" x14ac:dyDescent="0.45">
      <c r="A1528">
        <v>1526</v>
      </c>
      <c r="B1528" t="s">
        <v>8</v>
      </c>
      <c r="C1528" s="3">
        <v>809504.466809134</v>
      </c>
      <c r="D1528" s="3">
        <v>511726.91</v>
      </c>
      <c r="E1528" s="3">
        <v>414963.38508400699</v>
      </c>
      <c r="F1528" s="3">
        <v>1247806.8697015001</v>
      </c>
      <c r="G1528" s="1">
        <v>45169</v>
      </c>
      <c r="H1528" s="2">
        <v>45566</v>
      </c>
    </row>
    <row r="1529" spans="1:8" hidden="1" x14ac:dyDescent="0.45">
      <c r="A1529">
        <v>1527</v>
      </c>
      <c r="B1529" t="s">
        <v>8</v>
      </c>
      <c r="C1529" s="3">
        <v>1668927.1695018201</v>
      </c>
      <c r="D1529" s="3"/>
      <c r="E1529" s="3">
        <v>1007304.02960036</v>
      </c>
      <c r="F1529" s="3">
        <v>2401355.4956370601</v>
      </c>
      <c r="G1529" s="1">
        <v>45169</v>
      </c>
      <c r="H1529" s="2">
        <v>45597</v>
      </c>
    </row>
    <row r="1530" spans="1:8" hidden="1" x14ac:dyDescent="0.45">
      <c r="A1530">
        <v>1528</v>
      </c>
      <c r="B1530" t="s">
        <v>8</v>
      </c>
      <c r="C1530" s="3">
        <v>490975.78986031603</v>
      </c>
      <c r="D1530" s="3"/>
      <c r="E1530" s="3">
        <v>238661.97127052399</v>
      </c>
      <c r="F1530" s="3">
        <v>771033.72279658099</v>
      </c>
      <c r="G1530" s="1">
        <v>45169</v>
      </c>
      <c r="H1530" s="2">
        <v>45627</v>
      </c>
    </row>
    <row r="1531" spans="1:8" hidden="1" x14ac:dyDescent="0.45">
      <c r="A1531">
        <v>1529</v>
      </c>
      <c r="B1531" t="s">
        <v>8</v>
      </c>
      <c r="C1531" s="3">
        <v>906475.653005498</v>
      </c>
      <c r="D1531" s="3"/>
      <c r="E1531" s="3">
        <v>461135.41493836901</v>
      </c>
      <c r="F1531" s="3">
        <v>1391600.95641389</v>
      </c>
      <c r="G1531" s="1">
        <v>45169</v>
      </c>
      <c r="H1531" s="2">
        <v>45658</v>
      </c>
    </row>
    <row r="1532" spans="1:8" hidden="1" x14ac:dyDescent="0.45">
      <c r="A1532">
        <v>1530</v>
      </c>
      <c r="B1532" t="s">
        <v>8</v>
      </c>
      <c r="C1532" s="3">
        <v>759350.16904700105</v>
      </c>
      <c r="D1532" s="3"/>
      <c r="E1532" s="3">
        <v>397555.90002464899</v>
      </c>
      <c r="F1532" s="3">
        <v>1163216.9458763199</v>
      </c>
      <c r="G1532" s="1">
        <v>45169</v>
      </c>
      <c r="H1532" s="2">
        <v>45689</v>
      </c>
    </row>
    <row r="1533" spans="1:8" hidden="1" x14ac:dyDescent="0.45">
      <c r="A1533">
        <v>1531</v>
      </c>
      <c r="B1533" t="s">
        <v>8</v>
      </c>
      <c r="C1533" s="3">
        <v>1074392.7100289301</v>
      </c>
      <c r="D1533" s="3"/>
      <c r="E1533" s="3">
        <v>615678.10377750394</v>
      </c>
      <c r="F1533" s="3">
        <v>1595652.8203602</v>
      </c>
      <c r="G1533" s="1">
        <v>45169</v>
      </c>
      <c r="H1533" s="2">
        <v>45717</v>
      </c>
    </row>
    <row r="1534" spans="1:8" hidden="1" x14ac:dyDescent="0.45">
      <c r="A1534">
        <v>1532</v>
      </c>
      <c r="B1534" t="s">
        <v>8</v>
      </c>
      <c r="C1534" s="3">
        <v>577521.34896669397</v>
      </c>
      <c r="D1534" s="3"/>
      <c r="E1534" s="3">
        <v>291613.20260820101</v>
      </c>
      <c r="F1534" s="3">
        <v>894513.418845259</v>
      </c>
      <c r="G1534" s="1">
        <v>45169</v>
      </c>
      <c r="H1534" s="2">
        <v>45748</v>
      </c>
    </row>
    <row r="1535" spans="1:8" hidden="1" x14ac:dyDescent="0.45">
      <c r="A1535">
        <v>1533</v>
      </c>
      <c r="B1535" t="s">
        <v>8</v>
      </c>
      <c r="C1535" s="3">
        <v>752282.38152667205</v>
      </c>
      <c r="D1535" s="3"/>
      <c r="E1535" s="3">
        <v>414277.68880776298</v>
      </c>
      <c r="F1535" s="3">
        <v>1126731.21379041</v>
      </c>
      <c r="G1535" s="1">
        <v>45169</v>
      </c>
      <c r="H1535" s="2">
        <v>45778</v>
      </c>
    </row>
    <row r="1536" spans="1:8" hidden="1" x14ac:dyDescent="0.45">
      <c r="A1536">
        <v>1534</v>
      </c>
      <c r="B1536" t="s">
        <v>8</v>
      </c>
      <c r="C1536" s="3">
        <v>810991.354743934</v>
      </c>
      <c r="D1536" s="3"/>
      <c r="E1536" s="3">
        <v>453932.67852621002</v>
      </c>
      <c r="F1536" s="3">
        <v>1208708.2091427101</v>
      </c>
      <c r="G1536" s="1">
        <v>45169</v>
      </c>
      <c r="H1536" s="2">
        <v>45809</v>
      </c>
    </row>
    <row r="1537" spans="1:8" hidden="1" x14ac:dyDescent="0.45">
      <c r="A1537">
        <v>1535</v>
      </c>
      <c r="B1537" t="s">
        <v>8</v>
      </c>
      <c r="C1537" s="3">
        <v>889269.88289067894</v>
      </c>
      <c r="D1537" s="3"/>
      <c r="E1537" s="3">
        <v>502528.69105947099</v>
      </c>
      <c r="F1537" s="3">
        <v>1310310.6572886501</v>
      </c>
      <c r="G1537" s="1">
        <v>45169</v>
      </c>
      <c r="H1537" s="2">
        <v>45839</v>
      </c>
    </row>
    <row r="1538" spans="1:8" hidden="1" x14ac:dyDescent="0.45">
      <c r="A1538">
        <v>1536</v>
      </c>
      <c r="B1538" t="s">
        <v>8</v>
      </c>
      <c r="C1538" s="3">
        <v>864317.29097907396</v>
      </c>
      <c r="D1538" s="3"/>
      <c r="E1538" s="3">
        <v>495767.01596238901</v>
      </c>
      <c r="F1538" s="3">
        <v>1267164.37422682</v>
      </c>
      <c r="G1538" s="1">
        <v>45169</v>
      </c>
      <c r="H1538" s="2">
        <v>45870</v>
      </c>
    </row>
    <row r="1539" spans="1:8" hidden="1" x14ac:dyDescent="0.45">
      <c r="A1539">
        <v>1537</v>
      </c>
      <c r="B1539" t="s">
        <v>8</v>
      </c>
      <c r="C1539" s="3">
        <v>872202.80041537504</v>
      </c>
      <c r="D1539" s="3"/>
      <c r="E1539" s="3">
        <v>448674.758762012</v>
      </c>
      <c r="F1539" s="3">
        <v>1353791.8664794499</v>
      </c>
      <c r="G1539" s="1">
        <v>45169</v>
      </c>
      <c r="H1539" s="2">
        <v>45901</v>
      </c>
    </row>
    <row r="1540" spans="1:8" hidden="1" x14ac:dyDescent="0.45">
      <c r="A1540">
        <v>1538</v>
      </c>
      <c r="B1540" t="s">
        <v>8</v>
      </c>
      <c r="C1540" s="3">
        <v>767323.51204260904</v>
      </c>
      <c r="D1540" s="3"/>
      <c r="E1540" s="3">
        <v>404058.83616530598</v>
      </c>
      <c r="F1540" s="3">
        <v>1193165.04352093</v>
      </c>
      <c r="G1540" s="1">
        <v>45169</v>
      </c>
      <c r="H1540" s="2">
        <v>45931</v>
      </c>
    </row>
    <row r="1541" spans="1:8" hidden="1" x14ac:dyDescent="0.45">
      <c r="A1541">
        <v>1539</v>
      </c>
      <c r="B1541" t="s">
        <v>7</v>
      </c>
      <c r="C1541" s="3">
        <v>136950.89427116801</v>
      </c>
      <c r="D1541" s="3">
        <v>28250.62</v>
      </c>
      <c r="E1541" s="3">
        <v>81640.954307759501</v>
      </c>
      <c r="F1541" s="3">
        <v>194952.13477136599</v>
      </c>
      <c r="G1541" s="1">
        <v>45199</v>
      </c>
      <c r="H1541" s="2">
        <v>44228</v>
      </c>
    </row>
    <row r="1542" spans="1:8" hidden="1" x14ac:dyDescent="0.45">
      <c r="A1542">
        <v>1540</v>
      </c>
      <c r="B1542" t="s">
        <v>7</v>
      </c>
      <c r="C1542" s="3">
        <v>278609.91110626899</v>
      </c>
      <c r="D1542" s="3">
        <v>36247.919999999998</v>
      </c>
      <c r="E1542" s="3">
        <v>184681.339800908</v>
      </c>
      <c r="F1542" s="3">
        <v>374318.58362819598</v>
      </c>
      <c r="G1542" s="1">
        <v>45199</v>
      </c>
      <c r="H1542" s="2">
        <v>44256</v>
      </c>
    </row>
    <row r="1543" spans="1:8" hidden="1" x14ac:dyDescent="0.45">
      <c r="A1543">
        <v>1541</v>
      </c>
      <c r="B1543" t="s">
        <v>7</v>
      </c>
      <c r="C1543" s="3">
        <v>140971.590234406</v>
      </c>
      <c r="D1543" s="3">
        <v>14721.48</v>
      </c>
      <c r="E1543" s="3">
        <v>79905.746856633297</v>
      </c>
      <c r="F1543" s="3">
        <v>207284.892449873</v>
      </c>
      <c r="G1543" s="1">
        <v>45199</v>
      </c>
      <c r="H1543" s="2">
        <v>44287</v>
      </c>
    </row>
    <row r="1544" spans="1:8" hidden="1" x14ac:dyDescent="0.45">
      <c r="A1544">
        <v>1542</v>
      </c>
      <c r="B1544" t="s">
        <v>7</v>
      </c>
      <c r="C1544" s="3">
        <v>213399.89254602199</v>
      </c>
      <c r="D1544" s="3">
        <v>94346.71</v>
      </c>
      <c r="E1544" s="3">
        <v>125779.66432667999</v>
      </c>
      <c r="F1544" s="3">
        <v>308170.44151120301</v>
      </c>
      <c r="G1544" s="1">
        <v>45199</v>
      </c>
      <c r="H1544" s="2">
        <v>44317</v>
      </c>
    </row>
    <row r="1545" spans="1:8" hidden="1" x14ac:dyDescent="0.45">
      <c r="A1545">
        <v>1543</v>
      </c>
      <c r="B1545" t="s">
        <v>7</v>
      </c>
      <c r="C1545" s="3">
        <v>427391.84484698501</v>
      </c>
      <c r="D1545" s="3">
        <v>970740.72</v>
      </c>
      <c r="E1545" s="3">
        <v>270485.45512059401</v>
      </c>
      <c r="F1545" s="3">
        <v>594958.07518332999</v>
      </c>
      <c r="G1545" s="1">
        <v>45199</v>
      </c>
      <c r="H1545" s="2">
        <v>44348</v>
      </c>
    </row>
    <row r="1546" spans="1:8" hidden="1" x14ac:dyDescent="0.45">
      <c r="A1546">
        <v>1544</v>
      </c>
      <c r="B1546" t="s">
        <v>7</v>
      </c>
      <c r="C1546" s="3">
        <v>979764.62406125304</v>
      </c>
      <c r="D1546" s="3">
        <v>1798271.24</v>
      </c>
      <c r="E1546" s="3">
        <v>673754.29573999695</v>
      </c>
      <c r="F1546" s="3">
        <v>1300411.1906504701</v>
      </c>
      <c r="G1546" s="1">
        <v>45199</v>
      </c>
      <c r="H1546" s="2">
        <v>44378</v>
      </c>
    </row>
    <row r="1547" spans="1:8" hidden="1" x14ac:dyDescent="0.45">
      <c r="A1547">
        <v>1545</v>
      </c>
      <c r="B1547" t="s">
        <v>7</v>
      </c>
      <c r="C1547" s="3">
        <v>1009048.61644369</v>
      </c>
      <c r="D1547" s="3">
        <v>700449.31</v>
      </c>
      <c r="E1547" s="3">
        <v>681371.91676830803</v>
      </c>
      <c r="F1547" s="3">
        <v>1339689.8743350799</v>
      </c>
      <c r="G1547" s="1">
        <v>45199</v>
      </c>
      <c r="H1547" s="2">
        <v>44409</v>
      </c>
    </row>
    <row r="1548" spans="1:8" hidden="1" x14ac:dyDescent="0.45">
      <c r="A1548">
        <v>1546</v>
      </c>
      <c r="B1548" t="s">
        <v>7</v>
      </c>
      <c r="C1548" s="3">
        <v>1076188.8734643699</v>
      </c>
      <c r="D1548" s="3">
        <v>1784906.52</v>
      </c>
      <c r="E1548" s="3">
        <v>727037.80736249196</v>
      </c>
      <c r="F1548" s="3">
        <v>1439183.1273449301</v>
      </c>
      <c r="G1548" s="1">
        <v>45199</v>
      </c>
      <c r="H1548" s="2">
        <v>44440</v>
      </c>
    </row>
    <row r="1549" spans="1:8" hidden="1" x14ac:dyDescent="0.45">
      <c r="A1549">
        <v>1547</v>
      </c>
      <c r="B1549" t="s">
        <v>7</v>
      </c>
      <c r="C1549" s="3">
        <v>975661.96307441499</v>
      </c>
      <c r="D1549" s="3">
        <v>706422.77</v>
      </c>
      <c r="E1549" s="3">
        <v>611784.50429514295</v>
      </c>
      <c r="F1549" s="3">
        <v>1357406.21230339</v>
      </c>
      <c r="G1549" s="1">
        <v>45199</v>
      </c>
      <c r="H1549" s="2">
        <v>44470</v>
      </c>
    </row>
    <row r="1550" spans="1:8" hidden="1" x14ac:dyDescent="0.45">
      <c r="A1550">
        <v>1548</v>
      </c>
      <c r="B1550" t="s">
        <v>7</v>
      </c>
      <c r="C1550" s="3">
        <v>2136460.7190871001</v>
      </c>
      <c r="D1550" s="3">
        <v>3115611.92</v>
      </c>
      <c r="E1550" s="3">
        <v>1535366.4297942901</v>
      </c>
      <c r="F1550" s="3">
        <v>2737067.0908702798</v>
      </c>
      <c r="G1550" s="1">
        <v>45199</v>
      </c>
      <c r="H1550" s="2">
        <v>44501</v>
      </c>
    </row>
    <row r="1551" spans="1:8" hidden="1" x14ac:dyDescent="0.45">
      <c r="A1551">
        <v>1549</v>
      </c>
      <c r="B1551" t="s">
        <v>7</v>
      </c>
      <c r="C1551" s="3">
        <v>736259.56876413606</v>
      </c>
      <c r="D1551" s="3">
        <v>227049.91</v>
      </c>
      <c r="E1551" s="3">
        <v>408504.12489309203</v>
      </c>
      <c r="F1551" s="3">
        <v>1097255.9535251299</v>
      </c>
      <c r="G1551" s="1">
        <v>45199</v>
      </c>
      <c r="H1551" s="2">
        <v>44531</v>
      </c>
    </row>
    <row r="1552" spans="1:8" hidden="1" x14ac:dyDescent="0.45">
      <c r="A1552">
        <v>1550</v>
      </c>
      <c r="B1552" t="s">
        <v>7</v>
      </c>
      <c r="C1552" s="3">
        <v>1302738.59651449</v>
      </c>
      <c r="D1552" s="3">
        <v>1231496.1499999999</v>
      </c>
      <c r="E1552" s="3">
        <v>834116.061958306</v>
      </c>
      <c r="F1552" s="3">
        <v>1804499.14569185</v>
      </c>
      <c r="G1552" s="1">
        <v>45199</v>
      </c>
      <c r="H1552" s="2">
        <v>44562</v>
      </c>
    </row>
    <row r="1553" spans="1:8" hidden="1" x14ac:dyDescent="0.45">
      <c r="A1553">
        <v>1551</v>
      </c>
      <c r="B1553" t="s">
        <v>7</v>
      </c>
      <c r="C1553" s="3">
        <v>1060765.47322333</v>
      </c>
      <c r="D1553" s="3">
        <v>1031231.86</v>
      </c>
      <c r="E1553" s="3">
        <v>653014.16226520401</v>
      </c>
      <c r="F1553" s="3">
        <v>1516312.09299849</v>
      </c>
      <c r="G1553" s="1">
        <v>45199</v>
      </c>
      <c r="H1553" s="2">
        <v>44593</v>
      </c>
    </row>
    <row r="1554" spans="1:8" hidden="1" x14ac:dyDescent="0.45">
      <c r="A1554">
        <v>1552</v>
      </c>
      <c r="B1554" t="s">
        <v>7</v>
      </c>
      <c r="C1554" s="3">
        <v>1820312.5963662099</v>
      </c>
      <c r="D1554" s="3">
        <v>2866780.02</v>
      </c>
      <c r="E1554" s="3">
        <v>1189199.8762411501</v>
      </c>
      <c r="F1554" s="3">
        <v>2472187.7902499302</v>
      </c>
      <c r="G1554" s="1">
        <v>45199</v>
      </c>
      <c r="H1554" s="2">
        <v>44621</v>
      </c>
    </row>
    <row r="1555" spans="1:8" hidden="1" x14ac:dyDescent="0.45">
      <c r="A1555">
        <v>1553</v>
      </c>
      <c r="B1555" t="s">
        <v>7</v>
      </c>
      <c r="C1555" s="3">
        <v>826671.47586357396</v>
      </c>
      <c r="D1555" s="3">
        <v>106305.83</v>
      </c>
      <c r="E1555" s="3">
        <v>473788.68549362198</v>
      </c>
      <c r="F1555" s="3">
        <v>1218136.24655394</v>
      </c>
      <c r="G1555" s="1">
        <v>45199</v>
      </c>
      <c r="H1555" s="2">
        <v>44652</v>
      </c>
    </row>
    <row r="1556" spans="1:8" hidden="1" x14ac:dyDescent="0.45">
      <c r="A1556">
        <v>1554</v>
      </c>
      <c r="B1556" t="s">
        <v>7</v>
      </c>
      <c r="C1556" s="3">
        <v>1102119.2629629299</v>
      </c>
      <c r="D1556" s="3">
        <v>667164.73</v>
      </c>
      <c r="E1556" s="3">
        <v>650073.75802899199</v>
      </c>
      <c r="F1556" s="3">
        <v>1596066.6582470899</v>
      </c>
      <c r="G1556" s="1">
        <v>45199</v>
      </c>
      <c r="H1556" s="2">
        <v>44682</v>
      </c>
    </row>
    <row r="1557" spans="1:8" hidden="1" x14ac:dyDescent="0.45">
      <c r="A1557">
        <v>1555</v>
      </c>
      <c r="B1557" t="s">
        <v>7</v>
      </c>
      <c r="C1557" s="3">
        <v>1274548.7840335499</v>
      </c>
      <c r="D1557" s="3">
        <v>1398761.09</v>
      </c>
      <c r="E1557" s="3">
        <v>768857.86345659697</v>
      </c>
      <c r="F1557" s="3">
        <v>1815204.17111779</v>
      </c>
      <c r="G1557" s="1">
        <v>45199</v>
      </c>
      <c r="H1557" s="2">
        <v>44713</v>
      </c>
    </row>
    <row r="1558" spans="1:8" hidden="1" x14ac:dyDescent="0.45">
      <c r="A1558">
        <v>1556</v>
      </c>
      <c r="B1558" t="s">
        <v>7</v>
      </c>
      <c r="C1558" s="3">
        <v>1399115.5264309</v>
      </c>
      <c r="D1558" s="3">
        <v>931475.54</v>
      </c>
      <c r="E1558" s="3">
        <v>856213.97720321803</v>
      </c>
      <c r="F1558" s="3">
        <v>1966423.7015150799</v>
      </c>
      <c r="G1558" s="1">
        <v>45199</v>
      </c>
      <c r="H1558" s="2">
        <v>44743</v>
      </c>
    </row>
    <row r="1559" spans="1:8" hidden="1" x14ac:dyDescent="0.45">
      <c r="A1559">
        <v>1557</v>
      </c>
      <c r="B1559" t="s">
        <v>7</v>
      </c>
      <c r="C1559" s="3">
        <v>1258034.8761857599</v>
      </c>
      <c r="D1559" s="3">
        <v>1335916.6499999999</v>
      </c>
      <c r="E1559" s="3">
        <v>785387.70200190402</v>
      </c>
      <c r="F1559" s="3">
        <v>1760298.4565610101</v>
      </c>
      <c r="G1559" s="1">
        <v>45199</v>
      </c>
      <c r="H1559" s="2">
        <v>44774</v>
      </c>
    </row>
    <row r="1560" spans="1:8" hidden="1" x14ac:dyDescent="0.45">
      <c r="A1560">
        <v>1558</v>
      </c>
      <c r="B1560" t="s">
        <v>7</v>
      </c>
      <c r="C1560" s="3">
        <v>1179088.5366046899</v>
      </c>
      <c r="D1560" s="3">
        <v>976647.27</v>
      </c>
      <c r="E1560" s="3">
        <v>728763.23051325104</v>
      </c>
      <c r="F1560" s="3">
        <v>1660900.3231365799</v>
      </c>
      <c r="G1560" s="1">
        <v>45199</v>
      </c>
      <c r="H1560" s="2">
        <v>44805</v>
      </c>
    </row>
    <row r="1561" spans="1:8" hidden="1" x14ac:dyDescent="0.45">
      <c r="A1561">
        <v>1559</v>
      </c>
      <c r="B1561" t="s">
        <v>7</v>
      </c>
      <c r="C1561" s="3">
        <v>1032896.6463689</v>
      </c>
      <c r="D1561" s="3">
        <v>975982.86</v>
      </c>
      <c r="E1561" s="3">
        <v>602086.29492195998</v>
      </c>
      <c r="F1561" s="3">
        <v>1507603.65293889</v>
      </c>
      <c r="G1561" s="1">
        <v>45199</v>
      </c>
      <c r="H1561" s="2">
        <v>44835</v>
      </c>
    </row>
    <row r="1562" spans="1:8" hidden="1" x14ac:dyDescent="0.45">
      <c r="A1562">
        <v>1560</v>
      </c>
      <c r="B1562" t="s">
        <v>7</v>
      </c>
      <c r="C1562" s="3">
        <v>2245380.2410943001</v>
      </c>
      <c r="D1562" s="3">
        <v>2010415.16</v>
      </c>
      <c r="E1562" s="3">
        <v>1455577.6851949601</v>
      </c>
      <c r="F1562" s="3">
        <v>3068655.5952124498</v>
      </c>
      <c r="G1562" s="1">
        <v>45199</v>
      </c>
      <c r="H1562" s="2">
        <v>44866</v>
      </c>
    </row>
    <row r="1563" spans="1:8" hidden="1" x14ac:dyDescent="0.45">
      <c r="A1563">
        <v>1561</v>
      </c>
      <c r="B1563" t="s">
        <v>7</v>
      </c>
      <c r="C1563" s="3">
        <v>664513.37047636695</v>
      </c>
      <c r="D1563" s="3">
        <v>348929.42</v>
      </c>
      <c r="E1563" s="3">
        <v>350634.32798621297</v>
      </c>
      <c r="F1563" s="3">
        <v>1005141.9180504699</v>
      </c>
      <c r="G1563" s="1">
        <v>45199</v>
      </c>
      <c r="H1563" s="2">
        <v>44896</v>
      </c>
    </row>
    <row r="1564" spans="1:8" hidden="1" x14ac:dyDescent="0.45">
      <c r="A1564">
        <v>1562</v>
      </c>
      <c r="B1564" t="s">
        <v>7</v>
      </c>
      <c r="C1564" s="3">
        <v>1179428.4268584901</v>
      </c>
      <c r="D1564" s="3">
        <v>1096298.6399999999</v>
      </c>
      <c r="E1564" s="3">
        <v>703416.83277002198</v>
      </c>
      <c r="F1564" s="3">
        <v>1699753.97436487</v>
      </c>
      <c r="G1564" s="1">
        <v>45199</v>
      </c>
      <c r="H1564" s="2">
        <v>44927</v>
      </c>
    </row>
    <row r="1565" spans="1:8" hidden="1" x14ac:dyDescent="0.45">
      <c r="A1565">
        <v>1563</v>
      </c>
      <c r="B1565" t="s">
        <v>7</v>
      </c>
      <c r="C1565" s="3">
        <v>963252.01847428305</v>
      </c>
      <c r="D1565" s="3">
        <v>1036928.47</v>
      </c>
      <c r="E1565" s="3">
        <v>544726.60336604295</v>
      </c>
      <c r="F1565" s="3">
        <v>1419364.27884435</v>
      </c>
      <c r="G1565" s="1">
        <v>45199</v>
      </c>
      <c r="H1565" s="2">
        <v>44958</v>
      </c>
    </row>
    <row r="1566" spans="1:8" hidden="1" x14ac:dyDescent="0.45">
      <c r="A1566">
        <v>1564</v>
      </c>
      <c r="B1566" t="s">
        <v>7</v>
      </c>
      <c r="C1566" s="3">
        <v>1464193.5012576</v>
      </c>
      <c r="D1566" s="3">
        <v>660363.89</v>
      </c>
      <c r="E1566" s="3">
        <v>883310.96079383395</v>
      </c>
      <c r="F1566" s="3">
        <v>2076437.9224614401</v>
      </c>
      <c r="G1566" s="1">
        <v>45199</v>
      </c>
      <c r="H1566" s="2">
        <v>44986</v>
      </c>
    </row>
    <row r="1567" spans="1:8" hidden="1" x14ac:dyDescent="0.45">
      <c r="A1567">
        <v>1565</v>
      </c>
      <c r="B1567" t="s">
        <v>7</v>
      </c>
      <c r="C1567" s="3">
        <v>706354.46226580197</v>
      </c>
      <c r="D1567" s="3">
        <v>1093282.48</v>
      </c>
      <c r="E1567" s="3">
        <v>379815.93794021802</v>
      </c>
      <c r="F1567" s="3">
        <v>1058674.0993925401</v>
      </c>
      <c r="G1567" s="1">
        <v>45199</v>
      </c>
      <c r="H1567" s="2">
        <v>45017</v>
      </c>
    </row>
    <row r="1568" spans="1:8" hidden="1" x14ac:dyDescent="0.45">
      <c r="A1568">
        <v>1566</v>
      </c>
      <c r="B1568" t="s">
        <v>7</v>
      </c>
      <c r="C1568" s="3">
        <v>965311.18201037601</v>
      </c>
      <c r="D1568" s="3">
        <v>1212297.6200000001</v>
      </c>
      <c r="E1568" s="3">
        <v>552515.95985859598</v>
      </c>
      <c r="F1568" s="3">
        <v>1418603.3574283901</v>
      </c>
      <c r="G1568" s="1">
        <v>45199</v>
      </c>
      <c r="H1568" s="2">
        <v>45047</v>
      </c>
    </row>
    <row r="1569" spans="1:8" hidden="1" x14ac:dyDescent="0.45">
      <c r="A1569">
        <v>1567</v>
      </c>
      <c r="B1569" t="s">
        <v>7</v>
      </c>
      <c r="C1569" s="3">
        <v>1052764.7132757499</v>
      </c>
      <c r="D1569" s="3">
        <v>1041503.83</v>
      </c>
      <c r="E1569" s="3">
        <v>613369.47576382605</v>
      </c>
      <c r="F1569" s="3">
        <v>1534711.3060441101</v>
      </c>
      <c r="G1569" s="1">
        <v>45199</v>
      </c>
      <c r="H1569" s="2">
        <v>45078</v>
      </c>
    </row>
    <row r="1570" spans="1:8" hidden="1" x14ac:dyDescent="0.45">
      <c r="A1570">
        <v>1568</v>
      </c>
      <c r="B1570" t="s">
        <v>7</v>
      </c>
      <c r="C1570" s="3">
        <v>1159339.8185596401</v>
      </c>
      <c r="D1570" s="3">
        <v>1103446</v>
      </c>
      <c r="E1570" s="3">
        <v>675533.23353662901</v>
      </c>
      <c r="F1570" s="3">
        <v>1685711.78336733</v>
      </c>
      <c r="G1570" s="1">
        <v>45199</v>
      </c>
      <c r="H1570" s="2">
        <v>45108</v>
      </c>
    </row>
    <row r="1571" spans="1:8" hidden="1" x14ac:dyDescent="0.45">
      <c r="A1571">
        <v>1569</v>
      </c>
      <c r="B1571" t="s">
        <v>7</v>
      </c>
      <c r="C1571" s="3">
        <v>1106967.6155077401</v>
      </c>
      <c r="D1571" s="3">
        <v>1157502.68</v>
      </c>
      <c r="E1571" s="3">
        <v>648335.99443276797</v>
      </c>
      <c r="F1571" s="3">
        <v>1589596.4737486099</v>
      </c>
      <c r="G1571" s="1">
        <v>45199</v>
      </c>
      <c r="H1571" s="2">
        <v>45139</v>
      </c>
    </row>
    <row r="1572" spans="1:8" hidden="1" x14ac:dyDescent="0.45">
      <c r="A1572">
        <v>1570</v>
      </c>
      <c r="B1572" t="s">
        <v>7</v>
      </c>
      <c r="C1572" s="3">
        <v>1066526.16844821</v>
      </c>
      <c r="D1572" s="3">
        <v>1330269.6499999999</v>
      </c>
      <c r="E1572" s="3">
        <v>635936.46668821503</v>
      </c>
      <c r="F1572" s="3">
        <v>1535931.8215884699</v>
      </c>
      <c r="G1572" s="1">
        <v>45199</v>
      </c>
      <c r="H1572" s="2">
        <v>45170</v>
      </c>
    </row>
    <row r="1573" spans="1:8" hidden="1" x14ac:dyDescent="0.45">
      <c r="A1573">
        <v>1571</v>
      </c>
      <c r="B1573" t="s">
        <v>8</v>
      </c>
      <c r="C1573" s="3">
        <v>960085.47935494001</v>
      </c>
      <c r="D1573" s="3">
        <v>1146204.45</v>
      </c>
      <c r="E1573" s="3">
        <v>519893.239563254</v>
      </c>
      <c r="F1573" s="3">
        <v>1439312.65351326</v>
      </c>
      <c r="G1573" s="1">
        <v>45199</v>
      </c>
      <c r="H1573" s="2">
        <v>45200</v>
      </c>
    </row>
    <row r="1574" spans="1:8" hidden="1" x14ac:dyDescent="0.45">
      <c r="A1574">
        <v>1572</v>
      </c>
      <c r="B1574" t="s">
        <v>8</v>
      </c>
      <c r="C1574" s="3">
        <v>1954177.3182568301</v>
      </c>
      <c r="D1574" s="3">
        <v>1870440.76</v>
      </c>
      <c r="E1574" s="3">
        <v>1168788.5613673199</v>
      </c>
      <c r="F1574" s="3">
        <v>2786584.5769357299</v>
      </c>
      <c r="G1574" s="1">
        <v>45199</v>
      </c>
      <c r="H1574" s="2">
        <v>45231</v>
      </c>
    </row>
    <row r="1575" spans="1:8" hidden="1" x14ac:dyDescent="0.45">
      <c r="A1575">
        <v>1573</v>
      </c>
      <c r="B1575" t="s">
        <v>8</v>
      </c>
      <c r="C1575" s="3">
        <v>584918.99522875401</v>
      </c>
      <c r="D1575" s="3">
        <v>807890.21</v>
      </c>
      <c r="E1575" s="3">
        <v>292533.19812349998</v>
      </c>
      <c r="F1575" s="3">
        <v>914202.93491953099</v>
      </c>
      <c r="G1575" s="1">
        <v>45199</v>
      </c>
      <c r="H1575" s="2">
        <v>45261</v>
      </c>
    </row>
    <row r="1576" spans="1:8" hidden="1" x14ac:dyDescent="0.45">
      <c r="A1576">
        <v>1574</v>
      </c>
      <c r="B1576" t="s">
        <v>8</v>
      </c>
      <c r="C1576" s="3">
        <v>1024890.00569439</v>
      </c>
      <c r="D1576" s="3">
        <v>1228481.6000000001</v>
      </c>
      <c r="E1576" s="3">
        <v>563498.32122623897</v>
      </c>
      <c r="F1576" s="3">
        <v>1522276.19909875</v>
      </c>
      <c r="G1576" s="1">
        <v>45199</v>
      </c>
      <c r="H1576" s="2">
        <v>45292</v>
      </c>
    </row>
    <row r="1577" spans="1:8" hidden="1" x14ac:dyDescent="0.45">
      <c r="A1577">
        <v>1575</v>
      </c>
      <c r="B1577" t="s">
        <v>8</v>
      </c>
      <c r="C1577" s="3">
        <v>851639.664723614</v>
      </c>
      <c r="D1577" s="3">
        <v>833519.99</v>
      </c>
      <c r="E1577" s="3">
        <v>446308.82719856797</v>
      </c>
      <c r="F1577" s="3">
        <v>1296522.4624683999</v>
      </c>
      <c r="G1577" s="1">
        <v>45199</v>
      </c>
      <c r="H1577" s="2">
        <v>45323</v>
      </c>
    </row>
    <row r="1578" spans="1:8" hidden="1" x14ac:dyDescent="0.45">
      <c r="A1578">
        <v>1576</v>
      </c>
      <c r="B1578" t="s">
        <v>8</v>
      </c>
      <c r="C1578" s="3">
        <v>1202198.9626138799</v>
      </c>
      <c r="D1578" s="3">
        <v>846422.21</v>
      </c>
      <c r="E1578" s="3">
        <v>681843.07603586395</v>
      </c>
      <c r="F1578" s="3">
        <v>1766826.4796371299</v>
      </c>
      <c r="G1578" s="1">
        <v>45199</v>
      </c>
      <c r="H1578" s="2">
        <v>45352</v>
      </c>
    </row>
    <row r="1579" spans="1:8" hidden="1" x14ac:dyDescent="0.45">
      <c r="A1579">
        <v>1577</v>
      </c>
      <c r="B1579" t="s">
        <v>8</v>
      </c>
      <c r="C1579" s="3">
        <v>632410.299664494</v>
      </c>
      <c r="D1579" s="3">
        <v>1272846.56</v>
      </c>
      <c r="E1579" s="3">
        <v>324943.442151998</v>
      </c>
      <c r="F1579" s="3">
        <v>977198.61451167997</v>
      </c>
      <c r="G1579" s="1">
        <v>45199</v>
      </c>
      <c r="H1579" s="2">
        <v>45383</v>
      </c>
    </row>
    <row r="1580" spans="1:8" hidden="1" x14ac:dyDescent="0.45">
      <c r="A1580">
        <v>1578</v>
      </c>
      <c r="B1580" t="s">
        <v>8</v>
      </c>
      <c r="C1580" s="3">
        <v>848555.41779691796</v>
      </c>
      <c r="D1580" s="3">
        <v>713914.44</v>
      </c>
      <c r="E1580" s="3">
        <v>455821.75204455003</v>
      </c>
      <c r="F1580" s="3">
        <v>1286953.7563903199</v>
      </c>
      <c r="G1580" s="1">
        <v>45199</v>
      </c>
      <c r="H1580" s="2">
        <v>45413</v>
      </c>
    </row>
    <row r="1581" spans="1:8" hidden="1" x14ac:dyDescent="0.45">
      <c r="A1581">
        <v>1579</v>
      </c>
      <c r="B1581" t="s">
        <v>8</v>
      </c>
      <c r="C1581" s="3">
        <v>899427.52541867504</v>
      </c>
      <c r="D1581" s="3">
        <v>716965.19</v>
      </c>
      <c r="E1581" s="3">
        <v>502778.40105118399</v>
      </c>
      <c r="F1581" s="3">
        <v>1336956.5425311599</v>
      </c>
      <c r="G1581" s="1">
        <v>45199</v>
      </c>
      <c r="H1581" s="2">
        <v>45444</v>
      </c>
    </row>
    <row r="1582" spans="1:8" hidden="1" x14ac:dyDescent="0.45">
      <c r="A1582">
        <v>1580</v>
      </c>
      <c r="B1582" t="s">
        <v>8</v>
      </c>
      <c r="C1582" s="3">
        <v>993370.82057251001</v>
      </c>
      <c r="D1582" s="3">
        <v>798750.74</v>
      </c>
      <c r="E1582" s="3">
        <v>565545.03401771898</v>
      </c>
      <c r="F1582" s="3">
        <v>1480344.81513816</v>
      </c>
      <c r="G1582" s="1">
        <v>45199</v>
      </c>
      <c r="H1582" s="2">
        <v>45474</v>
      </c>
    </row>
    <row r="1583" spans="1:8" hidden="1" x14ac:dyDescent="0.45">
      <c r="A1583">
        <v>1581</v>
      </c>
      <c r="B1583" t="s">
        <v>8</v>
      </c>
      <c r="C1583" s="3">
        <v>949259.27360670303</v>
      </c>
      <c r="D1583" s="3">
        <v>773835.84</v>
      </c>
      <c r="E1583" s="3">
        <v>544088.88046705502</v>
      </c>
      <c r="F1583" s="3">
        <v>1396757.4173431499</v>
      </c>
      <c r="G1583" s="1">
        <v>45199</v>
      </c>
      <c r="H1583" s="2">
        <v>45505</v>
      </c>
    </row>
    <row r="1584" spans="1:8" hidden="1" x14ac:dyDescent="0.45">
      <c r="A1584">
        <v>1582</v>
      </c>
      <c r="B1584" t="s">
        <v>8</v>
      </c>
      <c r="C1584" s="3">
        <v>908358.62596156599</v>
      </c>
      <c r="D1584" s="3">
        <v>1352509.66</v>
      </c>
      <c r="E1584" s="3">
        <v>528564.96273415501</v>
      </c>
      <c r="F1584" s="3">
        <v>1320501.0679161299</v>
      </c>
      <c r="G1584" s="1">
        <v>45199</v>
      </c>
      <c r="H1584" s="2">
        <v>45536</v>
      </c>
    </row>
    <row r="1585" spans="1:8" hidden="1" x14ac:dyDescent="0.45">
      <c r="A1585">
        <v>1583</v>
      </c>
      <c r="B1585" t="s">
        <v>8</v>
      </c>
      <c r="C1585" s="3">
        <v>848510.22083985899</v>
      </c>
      <c r="D1585" s="3">
        <v>522950.83</v>
      </c>
      <c r="E1585" s="3">
        <v>451285.73097096401</v>
      </c>
      <c r="F1585" s="3">
        <v>1280450.4419919599</v>
      </c>
      <c r="G1585" s="1">
        <v>45199</v>
      </c>
      <c r="H1585" s="2">
        <v>45566</v>
      </c>
    </row>
    <row r="1586" spans="1:8" hidden="1" x14ac:dyDescent="0.45">
      <c r="A1586">
        <v>1584</v>
      </c>
      <c r="B1586" t="s">
        <v>8</v>
      </c>
      <c r="C1586" s="3">
        <v>1719916.58421239</v>
      </c>
      <c r="D1586" s="3"/>
      <c r="E1586" s="3">
        <v>993780.799232341</v>
      </c>
      <c r="F1586" s="3">
        <v>2492330.8099816102</v>
      </c>
      <c r="G1586" s="1">
        <v>45199</v>
      </c>
      <c r="H1586" s="2">
        <v>45597</v>
      </c>
    </row>
    <row r="1587" spans="1:8" hidden="1" x14ac:dyDescent="0.45">
      <c r="A1587">
        <v>1585</v>
      </c>
      <c r="B1587" t="s">
        <v>8</v>
      </c>
      <c r="C1587" s="3">
        <v>537879.42624633794</v>
      </c>
      <c r="D1587" s="3"/>
      <c r="E1587" s="3">
        <v>269398.07198537601</v>
      </c>
      <c r="F1587" s="3">
        <v>842013.01872663596</v>
      </c>
      <c r="G1587" s="1">
        <v>45199</v>
      </c>
      <c r="H1587" s="2">
        <v>45627</v>
      </c>
    </row>
    <row r="1588" spans="1:8" hidden="1" x14ac:dyDescent="0.45">
      <c r="A1588">
        <v>1586</v>
      </c>
      <c r="B1588" t="s">
        <v>8</v>
      </c>
      <c r="C1588" s="3">
        <v>944893.08248262398</v>
      </c>
      <c r="D1588" s="3"/>
      <c r="E1588" s="3">
        <v>513579.35774939199</v>
      </c>
      <c r="F1588" s="3">
        <v>1427667.80427993</v>
      </c>
      <c r="G1588" s="1">
        <v>45199</v>
      </c>
      <c r="H1588" s="2">
        <v>45658</v>
      </c>
    </row>
    <row r="1589" spans="1:8" hidden="1" x14ac:dyDescent="0.45">
      <c r="A1589">
        <v>1587</v>
      </c>
      <c r="B1589" t="s">
        <v>8</v>
      </c>
      <c r="C1589" s="3">
        <v>799191.23034824897</v>
      </c>
      <c r="D1589" s="3"/>
      <c r="E1589" s="3">
        <v>419722.42885651399</v>
      </c>
      <c r="F1589" s="3">
        <v>1225339.7550971699</v>
      </c>
      <c r="G1589" s="1">
        <v>45199</v>
      </c>
      <c r="H1589" s="2">
        <v>45689</v>
      </c>
    </row>
    <row r="1590" spans="1:8" hidden="1" x14ac:dyDescent="0.45">
      <c r="A1590">
        <v>1588</v>
      </c>
      <c r="B1590" t="s">
        <v>8</v>
      </c>
      <c r="C1590" s="3">
        <v>1120406.9844199801</v>
      </c>
      <c r="D1590" s="3"/>
      <c r="E1590" s="3">
        <v>635003.51816123095</v>
      </c>
      <c r="F1590" s="3">
        <v>1655661.9885835501</v>
      </c>
      <c r="G1590" s="1">
        <v>45199</v>
      </c>
      <c r="H1590" s="2">
        <v>45717</v>
      </c>
    </row>
    <row r="1591" spans="1:8" hidden="1" x14ac:dyDescent="0.45">
      <c r="A1591">
        <v>1589</v>
      </c>
      <c r="B1591" t="s">
        <v>8</v>
      </c>
      <c r="C1591" s="3">
        <v>606574.00807340897</v>
      </c>
      <c r="D1591" s="3"/>
      <c r="E1591" s="3">
        <v>306848.56244491099</v>
      </c>
      <c r="F1591" s="3">
        <v>938516.05417085602</v>
      </c>
      <c r="G1591" s="1">
        <v>45199</v>
      </c>
      <c r="H1591" s="2">
        <v>45748</v>
      </c>
    </row>
    <row r="1592" spans="1:8" hidden="1" x14ac:dyDescent="0.45">
      <c r="A1592">
        <v>1590</v>
      </c>
      <c r="B1592" t="s">
        <v>8</v>
      </c>
      <c r="C1592" s="3">
        <v>813922.63975771796</v>
      </c>
      <c r="D1592" s="3"/>
      <c r="E1592" s="3">
        <v>423573.37636115099</v>
      </c>
      <c r="F1592" s="3">
        <v>1238648.77984813</v>
      </c>
      <c r="G1592" s="1">
        <v>45199</v>
      </c>
      <c r="H1592" s="2">
        <v>45778</v>
      </c>
    </row>
    <row r="1593" spans="1:8" hidden="1" x14ac:dyDescent="0.45">
      <c r="A1593">
        <v>1591</v>
      </c>
      <c r="B1593" t="s">
        <v>8</v>
      </c>
      <c r="C1593" s="3">
        <v>863777.26434914197</v>
      </c>
      <c r="D1593" s="3"/>
      <c r="E1593" s="3">
        <v>482544.428029723</v>
      </c>
      <c r="F1593" s="3">
        <v>1288411.990618</v>
      </c>
      <c r="G1593" s="1">
        <v>45199</v>
      </c>
      <c r="H1593" s="2">
        <v>45809</v>
      </c>
    </row>
    <row r="1594" spans="1:8" hidden="1" x14ac:dyDescent="0.45">
      <c r="A1594">
        <v>1592</v>
      </c>
      <c r="B1594" t="s">
        <v>8</v>
      </c>
      <c r="C1594" s="3">
        <v>958443.59920718602</v>
      </c>
      <c r="D1594" s="3"/>
      <c r="E1594" s="3">
        <v>536429.96647298604</v>
      </c>
      <c r="F1594" s="3">
        <v>1421933.8533826901</v>
      </c>
      <c r="G1594" s="1">
        <v>45199</v>
      </c>
      <c r="H1594" s="2">
        <v>45839</v>
      </c>
    </row>
    <row r="1595" spans="1:8" hidden="1" x14ac:dyDescent="0.45">
      <c r="A1595">
        <v>1593</v>
      </c>
      <c r="B1595" t="s">
        <v>8</v>
      </c>
      <c r="C1595" s="3">
        <v>915003.52464503702</v>
      </c>
      <c r="D1595" s="3"/>
      <c r="E1595" s="3">
        <v>517942.91697125498</v>
      </c>
      <c r="F1595" s="3">
        <v>1344639.82734571</v>
      </c>
      <c r="G1595" s="1">
        <v>45199</v>
      </c>
      <c r="H1595" s="2">
        <v>45870</v>
      </c>
    </row>
    <row r="1596" spans="1:8" hidden="1" x14ac:dyDescent="0.45">
      <c r="A1596">
        <v>1594</v>
      </c>
      <c r="B1596" t="s">
        <v>8</v>
      </c>
      <c r="C1596" s="3">
        <v>880155.59921483404</v>
      </c>
      <c r="D1596" s="3"/>
      <c r="E1596" s="3">
        <v>505910.55727360898</v>
      </c>
      <c r="F1596" s="3">
        <v>1271809.7451975499</v>
      </c>
      <c r="G1596" s="1">
        <v>45199</v>
      </c>
      <c r="H1596" s="2">
        <v>45901</v>
      </c>
    </row>
    <row r="1597" spans="1:8" hidden="1" x14ac:dyDescent="0.45">
      <c r="A1597">
        <v>1595</v>
      </c>
      <c r="B1597" t="s">
        <v>8</v>
      </c>
      <c r="C1597" s="3">
        <v>824102.55698323995</v>
      </c>
      <c r="D1597" s="3"/>
      <c r="E1597" s="3">
        <v>441145.93120545102</v>
      </c>
      <c r="F1597" s="3">
        <v>1247877.3562020401</v>
      </c>
      <c r="G1597" s="1">
        <v>45199</v>
      </c>
      <c r="H1597" s="2">
        <v>45931</v>
      </c>
    </row>
    <row r="1598" spans="1:8" hidden="1" x14ac:dyDescent="0.45">
      <c r="A1598">
        <v>1596</v>
      </c>
      <c r="B1598" t="s">
        <v>7</v>
      </c>
      <c r="C1598" s="3">
        <v>129941.457645827</v>
      </c>
      <c r="D1598" s="3">
        <v>28250.62</v>
      </c>
      <c r="E1598" s="3">
        <v>75583.217819472993</v>
      </c>
      <c r="F1598" s="3">
        <v>188727.84233943801</v>
      </c>
      <c r="G1598" s="1">
        <v>45230</v>
      </c>
      <c r="H1598" s="2">
        <v>44228</v>
      </c>
    </row>
    <row r="1599" spans="1:8" hidden="1" x14ac:dyDescent="0.45">
      <c r="A1599">
        <v>1597</v>
      </c>
      <c r="B1599" t="s">
        <v>7</v>
      </c>
      <c r="C1599" s="3">
        <v>271695.28342545498</v>
      </c>
      <c r="D1599" s="3">
        <v>36247.919999999998</v>
      </c>
      <c r="E1599" s="3">
        <v>180319.39880884599</v>
      </c>
      <c r="F1599" s="3">
        <v>359692.36623724998</v>
      </c>
      <c r="G1599" s="1">
        <v>45230</v>
      </c>
      <c r="H1599" s="2">
        <v>44256</v>
      </c>
    </row>
    <row r="1600" spans="1:8" hidden="1" x14ac:dyDescent="0.45">
      <c r="A1600">
        <v>1598</v>
      </c>
      <c r="B1600" t="s">
        <v>7</v>
      </c>
      <c r="C1600" s="3">
        <v>135280.94379590501</v>
      </c>
      <c r="D1600" s="3">
        <v>14721.48</v>
      </c>
      <c r="E1600" s="3">
        <v>76224.6477806865</v>
      </c>
      <c r="F1600" s="3">
        <v>206658.306903583</v>
      </c>
      <c r="G1600" s="1">
        <v>45230</v>
      </c>
      <c r="H1600" s="2">
        <v>44287</v>
      </c>
    </row>
    <row r="1601" spans="1:8" hidden="1" x14ac:dyDescent="0.45">
      <c r="A1601">
        <v>1599</v>
      </c>
      <c r="B1601" t="s">
        <v>7</v>
      </c>
      <c r="C1601" s="3">
        <v>202415.65660555899</v>
      </c>
      <c r="D1601" s="3">
        <v>94346.71</v>
      </c>
      <c r="E1601" s="3">
        <v>122850.63173838099</v>
      </c>
      <c r="F1601" s="3">
        <v>288182.07861735002</v>
      </c>
      <c r="G1601" s="1">
        <v>45230</v>
      </c>
      <c r="H1601" s="2">
        <v>44317</v>
      </c>
    </row>
    <row r="1602" spans="1:8" hidden="1" x14ac:dyDescent="0.45">
      <c r="A1602">
        <v>1600</v>
      </c>
      <c r="B1602" t="s">
        <v>7</v>
      </c>
      <c r="C1602" s="3">
        <v>408840.75783614698</v>
      </c>
      <c r="D1602" s="3">
        <v>970740.72</v>
      </c>
      <c r="E1602" s="3">
        <v>258108.22778930201</v>
      </c>
      <c r="F1602" s="3">
        <v>572475.12876710505</v>
      </c>
      <c r="G1602" s="1">
        <v>45230</v>
      </c>
      <c r="H1602" s="2">
        <v>44348</v>
      </c>
    </row>
    <row r="1603" spans="1:8" hidden="1" x14ac:dyDescent="0.45">
      <c r="A1603">
        <v>1601</v>
      </c>
      <c r="B1603" t="s">
        <v>7</v>
      </c>
      <c r="C1603" s="3">
        <v>952172.98311399005</v>
      </c>
      <c r="D1603" s="3">
        <v>1798271.24</v>
      </c>
      <c r="E1603" s="3">
        <v>640655.41278766701</v>
      </c>
      <c r="F1603" s="3">
        <v>1307222.08126365</v>
      </c>
      <c r="G1603" s="1">
        <v>45230</v>
      </c>
      <c r="H1603" s="2">
        <v>44378</v>
      </c>
    </row>
    <row r="1604" spans="1:8" hidden="1" x14ac:dyDescent="0.45">
      <c r="A1604">
        <v>1602</v>
      </c>
      <c r="B1604" t="s">
        <v>7</v>
      </c>
      <c r="C1604" s="3">
        <v>977394.48476380797</v>
      </c>
      <c r="D1604" s="3">
        <v>700449.31</v>
      </c>
      <c r="E1604" s="3">
        <v>643026.47698483698</v>
      </c>
      <c r="F1604" s="3">
        <v>1338227.6696445199</v>
      </c>
      <c r="G1604" s="1">
        <v>45230</v>
      </c>
      <c r="H1604" s="2">
        <v>44409</v>
      </c>
    </row>
    <row r="1605" spans="1:8" hidden="1" x14ac:dyDescent="0.45">
      <c r="A1605">
        <v>1603</v>
      </c>
      <c r="B1605" t="s">
        <v>7</v>
      </c>
      <c r="C1605" s="3">
        <v>1066510.2679701699</v>
      </c>
      <c r="D1605" s="3">
        <v>1784906.52</v>
      </c>
      <c r="E1605" s="3">
        <v>694049.53496648499</v>
      </c>
      <c r="F1605" s="3">
        <v>1455028.5146913</v>
      </c>
      <c r="G1605" s="1">
        <v>45230</v>
      </c>
      <c r="H1605" s="2">
        <v>44440</v>
      </c>
    </row>
    <row r="1606" spans="1:8" hidden="1" x14ac:dyDescent="0.45">
      <c r="A1606">
        <v>1604</v>
      </c>
      <c r="B1606" t="s">
        <v>7</v>
      </c>
      <c r="C1606" s="3">
        <v>937502.94680589798</v>
      </c>
      <c r="D1606" s="3">
        <v>706422.77</v>
      </c>
      <c r="E1606" s="3">
        <v>598736.30084122601</v>
      </c>
      <c r="F1606" s="3">
        <v>1312714.0737346699</v>
      </c>
      <c r="G1606" s="1">
        <v>45230</v>
      </c>
      <c r="H1606" s="2">
        <v>44470</v>
      </c>
    </row>
    <row r="1607" spans="1:8" hidden="1" x14ac:dyDescent="0.45">
      <c r="A1607">
        <v>1605</v>
      </c>
      <c r="B1607" t="s">
        <v>7</v>
      </c>
      <c r="C1607" s="3">
        <v>2139355.82806934</v>
      </c>
      <c r="D1607" s="3">
        <v>3115611.92</v>
      </c>
      <c r="E1607" s="3">
        <v>1512154.58220393</v>
      </c>
      <c r="F1607" s="3">
        <v>2758778.8952334998</v>
      </c>
      <c r="G1607" s="1">
        <v>45230</v>
      </c>
      <c r="H1607" s="2">
        <v>44501</v>
      </c>
    </row>
    <row r="1608" spans="1:8" hidden="1" x14ac:dyDescent="0.45">
      <c r="A1608">
        <v>1606</v>
      </c>
      <c r="B1608" t="s">
        <v>7</v>
      </c>
      <c r="C1608" s="3">
        <v>702143.94420279702</v>
      </c>
      <c r="D1608" s="3">
        <v>227049.91</v>
      </c>
      <c r="E1608" s="3">
        <v>393405.06564137602</v>
      </c>
      <c r="F1608" s="3">
        <v>1064512.9042755901</v>
      </c>
      <c r="G1608" s="1">
        <v>45230</v>
      </c>
      <c r="H1608" s="2">
        <v>44531</v>
      </c>
    </row>
    <row r="1609" spans="1:8" hidden="1" x14ac:dyDescent="0.45">
      <c r="A1609">
        <v>1607</v>
      </c>
      <c r="B1609" t="s">
        <v>7</v>
      </c>
      <c r="C1609" s="3">
        <v>1298315.10451165</v>
      </c>
      <c r="D1609" s="3">
        <v>1231496.1499999999</v>
      </c>
      <c r="E1609" s="3">
        <v>799961.54638378299</v>
      </c>
      <c r="F1609" s="3">
        <v>1824675.3452856699</v>
      </c>
      <c r="G1609" s="1">
        <v>45230</v>
      </c>
      <c r="H1609" s="2">
        <v>44562</v>
      </c>
    </row>
    <row r="1610" spans="1:8" hidden="1" x14ac:dyDescent="0.45">
      <c r="A1610">
        <v>1608</v>
      </c>
      <c r="B1610" t="s">
        <v>7</v>
      </c>
      <c r="C1610" s="3">
        <v>1065241.5884877499</v>
      </c>
      <c r="D1610" s="3">
        <v>1031231.86</v>
      </c>
      <c r="E1610" s="3">
        <v>635673.75409315503</v>
      </c>
      <c r="F1610" s="3">
        <v>1523374.3521040999</v>
      </c>
      <c r="G1610" s="1">
        <v>45230</v>
      </c>
      <c r="H1610" s="2">
        <v>44593</v>
      </c>
    </row>
    <row r="1611" spans="1:8" hidden="1" x14ac:dyDescent="0.45">
      <c r="A1611">
        <v>1609</v>
      </c>
      <c r="B1611" t="s">
        <v>7</v>
      </c>
      <c r="C1611" s="3">
        <v>1810270.8432930999</v>
      </c>
      <c r="D1611" s="3">
        <v>2866780.02</v>
      </c>
      <c r="E1611" s="3">
        <v>1168812.0551655299</v>
      </c>
      <c r="F1611" s="3">
        <v>2481042.6127191898</v>
      </c>
      <c r="G1611" s="1">
        <v>45230</v>
      </c>
      <c r="H1611" s="2">
        <v>44621</v>
      </c>
    </row>
    <row r="1612" spans="1:8" hidden="1" x14ac:dyDescent="0.45">
      <c r="A1612">
        <v>1610</v>
      </c>
      <c r="B1612" t="s">
        <v>7</v>
      </c>
      <c r="C1612" s="3">
        <v>825920.82991050498</v>
      </c>
      <c r="D1612" s="3">
        <v>106305.83</v>
      </c>
      <c r="E1612" s="3">
        <v>461405.05369208899</v>
      </c>
      <c r="F1612" s="3">
        <v>1254004.16497854</v>
      </c>
      <c r="G1612" s="1">
        <v>45230</v>
      </c>
      <c r="H1612" s="2">
        <v>44652</v>
      </c>
    </row>
    <row r="1613" spans="1:8" hidden="1" x14ac:dyDescent="0.45">
      <c r="A1613">
        <v>1611</v>
      </c>
      <c r="B1613" t="s">
        <v>7</v>
      </c>
      <c r="C1613" s="3">
        <v>1111607.61417378</v>
      </c>
      <c r="D1613" s="3">
        <v>667164.73</v>
      </c>
      <c r="E1613" s="3">
        <v>664462.243017931</v>
      </c>
      <c r="F1613" s="3">
        <v>1606166.83968261</v>
      </c>
      <c r="G1613" s="1">
        <v>45230</v>
      </c>
      <c r="H1613" s="2">
        <v>44682</v>
      </c>
    </row>
    <row r="1614" spans="1:8" hidden="1" x14ac:dyDescent="0.45">
      <c r="A1614">
        <v>1612</v>
      </c>
      <c r="B1614" t="s">
        <v>7</v>
      </c>
      <c r="C1614" s="3">
        <v>1266073.1246207401</v>
      </c>
      <c r="D1614" s="3">
        <v>1398761.09</v>
      </c>
      <c r="E1614" s="3">
        <v>774244.38137728896</v>
      </c>
      <c r="F1614" s="3">
        <v>1801688.4061356499</v>
      </c>
      <c r="G1614" s="1">
        <v>45230</v>
      </c>
      <c r="H1614" s="2">
        <v>44713</v>
      </c>
    </row>
    <row r="1615" spans="1:8" hidden="1" x14ac:dyDescent="0.45">
      <c r="A1615">
        <v>1613</v>
      </c>
      <c r="B1615" t="s">
        <v>7</v>
      </c>
      <c r="C1615" s="3">
        <v>1414383.31374383</v>
      </c>
      <c r="D1615" s="3">
        <v>931475.54</v>
      </c>
      <c r="E1615" s="3">
        <v>860300.15069440601</v>
      </c>
      <c r="F1615" s="3">
        <v>2010035.36487426</v>
      </c>
      <c r="G1615" s="1">
        <v>45230</v>
      </c>
      <c r="H1615" s="2">
        <v>44743</v>
      </c>
    </row>
    <row r="1616" spans="1:8" hidden="1" x14ac:dyDescent="0.45">
      <c r="A1616">
        <v>1614</v>
      </c>
      <c r="B1616" t="s">
        <v>7</v>
      </c>
      <c r="C1616" s="3">
        <v>1253818.2648700001</v>
      </c>
      <c r="D1616" s="3">
        <v>1335916.6499999999</v>
      </c>
      <c r="E1616" s="3">
        <v>762746.06752060098</v>
      </c>
      <c r="F1616" s="3">
        <v>1768581.5279777499</v>
      </c>
      <c r="G1616" s="1">
        <v>45230</v>
      </c>
      <c r="H1616" s="2">
        <v>44774</v>
      </c>
    </row>
    <row r="1617" spans="1:8" hidden="1" x14ac:dyDescent="0.45">
      <c r="A1617">
        <v>1615</v>
      </c>
      <c r="B1617" t="s">
        <v>7</v>
      </c>
      <c r="C1617" s="3">
        <v>1200439.48606319</v>
      </c>
      <c r="D1617" s="3">
        <v>976647.27</v>
      </c>
      <c r="E1617" s="3">
        <v>735425.21635448595</v>
      </c>
      <c r="F1617" s="3">
        <v>1700516.4552750699</v>
      </c>
      <c r="G1617" s="1">
        <v>45230</v>
      </c>
      <c r="H1617" s="2">
        <v>44805</v>
      </c>
    </row>
    <row r="1618" spans="1:8" hidden="1" x14ac:dyDescent="0.45">
      <c r="A1618">
        <v>1616</v>
      </c>
      <c r="B1618" t="s">
        <v>7</v>
      </c>
      <c r="C1618" s="3">
        <v>1018621.08603426</v>
      </c>
      <c r="D1618" s="3">
        <v>975982.86</v>
      </c>
      <c r="E1618" s="3">
        <v>606008.10771741904</v>
      </c>
      <c r="F1618" s="3">
        <v>1469514.5654414201</v>
      </c>
      <c r="G1618" s="1">
        <v>45230</v>
      </c>
      <c r="H1618" s="2">
        <v>44835</v>
      </c>
    </row>
    <row r="1619" spans="1:8" hidden="1" x14ac:dyDescent="0.45">
      <c r="A1619">
        <v>1617</v>
      </c>
      <c r="B1619" t="s">
        <v>7</v>
      </c>
      <c r="C1619" s="3">
        <v>2324774.9662296399</v>
      </c>
      <c r="D1619" s="3">
        <v>2010415.16</v>
      </c>
      <c r="E1619" s="3">
        <v>1466572.77870799</v>
      </c>
      <c r="F1619" s="3">
        <v>3214170.68008309</v>
      </c>
      <c r="G1619" s="1">
        <v>45230</v>
      </c>
      <c r="H1619" s="2">
        <v>44866</v>
      </c>
    </row>
    <row r="1620" spans="1:8" hidden="1" x14ac:dyDescent="0.45">
      <c r="A1620">
        <v>1618</v>
      </c>
      <c r="B1620" t="s">
        <v>7</v>
      </c>
      <c r="C1620" s="3">
        <v>650967.69848057698</v>
      </c>
      <c r="D1620" s="3">
        <v>348929.42</v>
      </c>
      <c r="E1620" s="3">
        <v>330749.632319253</v>
      </c>
      <c r="F1620" s="3">
        <v>1000822.4344549601</v>
      </c>
      <c r="G1620" s="1">
        <v>45230</v>
      </c>
      <c r="H1620" s="2">
        <v>44896</v>
      </c>
    </row>
    <row r="1621" spans="1:8" hidden="1" x14ac:dyDescent="0.45">
      <c r="A1621">
        <v>1619</v>
      </c>
      <c r="B1621" t="s">
        <v>7</v>
      </c>
      <c r="C1621" s="3">
        <v>1208375.4308593599</v>
      </c>
      <c r="D1621" s="3">
        <v>1096298.6399999999</v>
      </c>
      <c r="E1621" s="3">
        <v>697036.85743807803</v>
      </c>
      <c r="F1621" s="3">
        <v>1768695.5211875001</v>
      </c>
      <c r="G1621" s="1">
        <v>45230</v>
      </c>
      <c r="H1621" s="2">
        <v>44927</v>
      </c>
    </row>
    <row r="1622" spans="1:8" hidden="1" x14ac:dyDescent="0.45">
      <c r="A1622">
        <v>1620</v>
      </c>
      <c r="B1622" t="s">
        <v>7</v>
      </c>
      <c r="C1622" s="3">
        <v>984844.22362810199</v>
      </c>
      <c r="D1622" s="3">
        <v>1036928.47</v>
      </c>
      <c r="E1622" s="3">
        <v>542760.88718380698</v>
      </c>
      <c r="F1622" s="3">
        <v>1456693.9468771601</v>
      </c>
      <c r="G1622" s="1">
        <v>45230</v>
      </c>
      <c r="H1622" s="2">
        <v>44958</v>
      </c>
    </row>
    <row r="1623" spans="1:8" hidden="1" x14ac:dyDescent="0.45">
      <c r="A1623">
        <v>1621</v>
      </c>
      <c r="B1623" t="s">
        <v>7</v>
      </c>
      <c r="C1623" s="3">
        <v>1512978.66967836</v>
      </c>
      <c r="D1623" s="3">
        <v>660363.89</v>
      </c>
      <c r="E1623" s="3">
        <v>907135.91224269103</v>
      </c>
      <c r="F1623" s="3">
        <v>2155122.0214451598</v>
      </c>
      <c r="G1623" s="1">
        <v>45230</v>
      </c>
      <c r="H1623" s="2">
        <v>44986</v>
      </c>
    </row>
    <row r="1624" spans="1:8" hidden="1" x14ac:dyDescent="0.45">
      <c r="A1624">
        <v>1622</v>
      </c>
      <c r="B1624" t="s">
        <v>7</v>
      </c>
      <c r="C1624" s="3">
        <v>724108.49610723404</v>
      </c>
      <c r="D1624" s="3">
        <v>1093282.48</v>
      </c>
      <c r="E1624" s="3">
        <v>384796.25305965397</v>
      </c>
      <c r="F1624" s="3">
        <v>1104171.3403008401</v>
      </c>
      <c r="G1624" s="1">
        <v>45230</v>
      </c>
      <c r="H1624" s="2">
        <v>45017</v>
      </c>
    </row>
    <row r="1625" spans="1:8" hidden="1" x14ac:dyDescent="0.45">
      <c r="A1625">
        <v>1623</v>
      </c>
      <c r="B1625" t="s">
        <v>7</v>
      </c>
      <c r="C1625" s="3">
        <v>995764.66196583596</v>
      </c>
      <c r="D1625" s="3">
        <v>1212297.6200000001</v>
      </c>
      <c r="E1625" s="3">
        <v>566915.57021001296</v>
      </c>
      <c r="F1625" s="3">
        <v>1465102.59562669</v>
      </c>
      <c r="G1625" s="1">
        <v>45230</v>
      </c>
      <c r="H1625" s="2">
        <v>45047</v>
      </c>
    </row>
    <row r="1626" spans="1:8" hidden="1" x14ac:dyDescent="0.45">
      <c r="A1626">
        <v>1624</v>
      </c>
      <c r="B1626" t="s">
        <v>7</v>
      </c>
      <c r="C1626" s="3">
        <v>1091810.57983439</v>
      </c>
      <c r="D1626" s="3">
        <v>1041503.83</v>
      </c>
      <c r="E1626" s="3">
        <v>622043.79558885202</v>
      </c>
      <c r="F1626" s="3">
        <v>1596946.96568786</v>
      </c>
      <c r="G1626" s="1">
        <v>45230</v>
      </c>
      <c r="H1626" s="2">
        <v>45078</v>
      </c>
    </row>
    <row r="1627" spans="1:8" hidden="1" x14ac:dyDescent="0.45">
      <c r="A1627">
        <v>1625</v>
      </c>
      <c r="B1627" t="s">
        <v>7</v>
      </c>
      <c r="C1627" s="3">
        <v>1223470.8860840499</v>
      </c>
      <c r="D1627" s="3">
        <v>1103446</v>
      </c>
      <c r="E1627" s="3">
        <v>705414.293655021</v>
      </c>
      <c r="F1627" s="3">
        <v>1791827.76510106</v>
      </c>
      <c r="G1627" s="1">
        <v>45230</v>
      </c>
      <c r="H1627" s="2">
        <v>45108</v>
      </c>
    </row>
    <row r="1628" spans="1:8" hidden="1" x14ac:dyDescent="0.45">
      <c r="A1628">
        <v>1626</v>
      </c>
      <c r="B1628" t="s">
        <v>7</v>
      </c>
      <c r="C1628" s="3">
        <v>1154821.2678842801</v>
      </c>
      <c r="D1628" s="3">
        <v>1157502.68</v>
      </c>
      <c r="E1628" s="3">
        <v>668385.97737271001</v>
      </c>
      <c r="F1628" s="3">
        <v>1682689.6967396899</v>
      </c>
      <c r="G1628" s="1">
        <v>45230</v>
      </c>
      <c r="H1628" s="2">
        <v>45139</v>
      </c>
    </row>
    <row r="1629" spans="1:8" hidden="1" x14ac:dyDescent="0.45">
      <c r="A1629">
        <v>1627</v>
      </c>
      <c r="B1629" t="s">
        <v>7</v>
      </c>
      <c r="C1629" s="3">
        <v>1119570.48471101</v>
      </c>
      <c r="D1629" s="3">
        <v>1330269.6499999999</v>
      </c>
      <c r="E1629" s="3">
        <v>627610.33338570804</v>
      </c>
      <c r="F1629" s="3">
        <v>1644962.09841214</v>
      </c>
      <c r="G1629" s="1">
        <v>45230</v>
      </c>
      <c r="H1629" s="2">
        <v>45170</v>
      </c>
    </row>
    <row r="1630" spans="1:8" hidden="1" x14ac:dyDescent="0.45">
      <c r="A1630">
        <v>1628</v>
      </c>
      <c r="B1630" t="s">
        <v>7</v>
      </c>
      <c r="C1630" s="3">
        <v>976965.18780559697</v>
      </c>
      <c r="D1630" s="3">
        <v>1219536.81</v>
      </c>
      <c r="E1630" s="3">
        <v>544811.73376630398</v>
      </c>
      <c r="F1630" s="3">
        <v>1456633.2720047</v>
      </c>
      <c r="G1630" s="1">
        <v>45230</v>
      </c>
      <c r="H1630" s="2">
        <v>45200</v>
      </c>
    </row>
    <row r="1631" spans="1:8" hidden="1" x14ac:dyDescent="0.45">
      <c r="A1631">
        <v>1629</v>
      </c>
      <c r="B1631" t="s">
        <v>8</v>
      </c>
      <c r="C1631" s="3">
        <v>2135928.1700374801</v>
      </c>
      <c r="D1631" s="3">
        <v>1950863.5</v>
      </c>
      <c r="E1631" s="3">
        <v>1228712.5777559001</v>
      </c>
      <c r="F1631" s="3">
        <v>3123574.8940987899</v>
      </c>
      <c r="G1631" s="1">
        <v>45230</v>
      </c>
      <c r="H1631" s="2">
        <v>45231</v>
      </c>
    </row>
    <row r="1632" spans="1:8" hidden="1" x14ac:dyDescent="0.45">
      <c r="A1632">
        <v>1630</v>
      </c>
      <c r="B1632" t="s">
        <v>8</v>
      </c>
      <c r="C1632" s="3">
        <v>595505.57364721806</v>
      </c>
      <c r="D1632" s="3">
        <v>835694.46</v>
      </c>
      <c r="E1632" s="3">
        <v>277698.120324719</v>
      </c>
      <c r="F1632" s="3">
        <v>949611.70185783203</v>
      </c>
      <c r="G1632" s="1">
        <v>45230</v>
      </c>
      <c r="H1632" s="2">
        <v>45261</v>
      </c>
    </row>
    <row r="1633" spans="1:8" hidden="1" x14ac:dyDescent="0.45">
      <c r="A1633">
        <v>1631</v>
      </c>
      <c r="B1633" t="s">
        <v>8</v>
      </c>
      <c r="C1633" s="3">
        <v>1111424.9118425201</v>
      </c>
      <c r="D1633" s="3">
        <v>1268144.32</v>
      </c>
      <c r="E1633" s="3">
        <v>582472.60341385496</v>
      </c>
      <c r="F1633" s="3">
        <v>1708423.9514301899</v>
      </c>
      <c r="G1633" s="1">
        <v>45230</v>
      </c>
      <c r="H1633" s="2">
        <v>45292</v>
      </c>
    </row>
    <row r="1634" spans="1:8" hidden="1" x14ac:dyDescent="0.45">
      <c r="A1634">
        <v>1632</v>
      </c>
      <c r="B1634" t="s">
        <v>8</v>
      </c>
      <c r="C1634" s="3">
        <v>909450.13342974696</v>
      </c>
      <c r="D1634" s="3">
        <v>862392.679999999</v>
      </c>
      <c r="E1634" s="3">
        <v>447639.15507205902</v>
      </c>
      <c r="F1634" s="3">
        <v>1393117.60257782</v>
      </c>
      <c r="G1634" s="1">
        <v>45230</v>
      </c>
      <c r="H1634" s="2">
        <v>45323</v>
      </c>
    </row>
    <row r="1635" spans="1:8" hidden="1" x14ac:dyDescent="0.45">
      <c r="A1635">
        <v>1633</v>
      </c>
      <c r="B1635" t="s">
        <v>8</v>
      </c>
      <c r="C1635" s="3">
        <v>1314230.67807524</v>
      </c>
      <c r="D1635" s="3">
        <v>878059.36</v>
      </c>
      <c r="E1635" s="3">
        <v>701833.33966122696</v>
      </c>
      <c r="F1635" s="3">
        <v>1959646.25552886</v>
      </c>
      <c r="G1635" s="1">
        <v>45230</v>
      </c>
      <c r="H1635" s="2">
        <v>45352</v>
      </c>
    </row>
    <row r="1636" spans="1:8" hidden="1" x14ac:dyDescent="0.45">
      <c r="A1636">
        <v>1634</v>
      </c>
      <c r="B1636" t="s">
        <v>8</v>
      </c>
      <c r="C1636" s="3">
        <v>677527.51776412502</v>
      </c>
      <c r="D1636" s="3">
        <v>1308702.99</v>
      </c>
      <c r="E1636" s="3">
        <v>327467.85944454902</v>
      </c>
      <c r="F1636" s="3">
        <v>1067725.6873158</v>
      </c>
      <c r="G1636" s="1">
        <v>45230</v>
      </c>
      <c r="H1636" s="2">
        <v>45383</v>
      </c>
    </row>
    <row r="1637" spans="1:8" hidden="1" x14ac:dyDescent="0.45">
      <c r="A1637">
        <v>1635</v>
      </c>
      <c r="B1637" t="s">
        <v>8</v>
      </c>
      <c r="C1637" s="3">
        <v>895530.51932051498</v>
      </c>
      <c r="D1637" s="3">
        <v>739720.39999999898</v>
      </c>
      <c r="E1637" s="3">
        <v>465918.20661495603</v>
      </c>
      <c r="F1637" s="3">
        <v>1364286.1120228099</v>
      </c>
      <c r="G1637" s="1">
        <v>45230</v>
      </c>
      <c r="H1637" s="2">
        <v>45413</v>
      </c>
    </row>
    <row r="1638" spans="1:8" hidden="1" x14ac:dyDescent="0.45">
      <c r="A1638">
        <v>1636</v>
      </c>
      <c r="B1638" t="s">
        <v>8</v>
      </c>
      <c r="C1638" s="3">
        <v>968234.65249632602</v>
      </c>
      <c r="D1638" s="3">
        <v>736952.76999999897</v>
      </c>
      <c r="E1638" s="3">
        <v>517218.53397217102</v>
      </c>
      <c r="F1638" s="3">
        <v>1475980.27927071</v>
      </c>
      <c r="G1638" s="1">
        <v>45230</v>
      </c>
      <c r="H1638" s="2">
        <v>45444</v>
      </c>
    </row>
    <row r="1639" spans="1:8" hidden="1" x14ac:dyDescent="0.45">
      <c r="A1639">
        <v>1637</v>
      </c>
      <c r="B1639" t="s">
        <v>8</v>
      </c>
      <c r="C1639" s="3">
        <v>1082995.5454055499</v>
      </c>
      <c r="D1639" s="3">
        <v>824740.95</v>
      </c>
      <c r="E1639" s="3">
        <v>576078.08379480499</v>
      </c>
      <c r="F1639" s="3">
        <v>1629468.4583868301</v>
      </c>
      <c r="G1639" s="1">
        <v>45230</v>
      </c>
      <c r="H1639" s="2">
        <v>45474</v>
      </c>
    </row>
    <row r="1640" spans="1:8" hidden="1" x14ac:dyDescent="0.45">
      <c r="A1640">
        <v>1638</v>
      </c>
      <c r="B1640" t="s">
        <v>8</v>
      </c>
      <c r="C1640" s="3">
        <v>1026666.32881259</v>
      </c>
      <c r="D1640" s="3">
        <v>804900.24</v>
      </c>
      <c r="E1640" s="3">
        <v>565551.06328624801</v>
      </c>
      <c r="F1640" s="3">
        <v>1551388.19241287</v>
      </c>
      <c r="G1640" s="1">
        <v>45230</v>
      </c>
      <c r="H1640" s="2">
        <v>45505</v>
      </c>
    </row>
    <row r="1641" spans="1:8" hidden="1" x14ac:dyDescent="0.45">
      <c r="A1641">
        <v>1639</v>
      </c>
      <c r="B1641" t="s">
        <v>8</v>
      </c>
      <c r="C1641" s="3">
        <v>980226.20052797603</v>
      </c>
      <c r="D1641" s="3">
        <v>1391637.93</v>
      </c>
      <c r="E1641" s="3">
        <v>531886.39405557502</v>
      </c>
      <c r="F1641" s="3">
        <v>1468463.3525350201</v>
      </c>
      <c r="G1641" s="1">
        <v>45230</v>
      </c>
      <c r="H1641" s="2">
        <v>45536</v>
      </c>
    </row>
    <row r="1642" spans="1:8" hidden="1" x14ac:dyDescent="0.45">
      <c r="A1642">
        <v>1640</v>
      </c>
      <c r="B1642" t="s">
        <v>8</v>
      </c>
      <c r="C1642" s="3">
        <v>844865.73253015405</v>
      </c>
      <c r="D1642" s="3">
        <v>538919.51999999897</v>
      </c>
      <c r="E1642" s="3">
        <v>473496.89449041302</v>
      </c>
      <c r="F1642" s="3">
        <v>1277795.0167530701</v>
      </c>
      <c r="G1642" s="1">
        <v>45230</v>
      </c>
      <c r="H1642" s="2">
        <v>45566</v>
      </c>
    </row>
    <row r="1643" spans="1:8" hidden="1" x14ac:dyDescent="0.45">
      <c r="A1643">
        <v>1641</v>
      </c>
      <c r="B1643" t="s">
        <v>8</v>
      </c>
      <c r="C1643" s="3">
        <v>1886088.67576752</v>
      </c>
      <c r="D1643" s="3"/>
      <c r="E1643" s="3">
        <v>1036380.15589816</v>
      </c>
      <c r="F1643" s="3">
        <v>2831487.36375017</v>
      </c>
      <c r="G1643" s="1">
        <v>45230</v>
      </c>
      <c r="H1643" s="2">
        <v>45597</v>
      </c>
    </row>
    <row r="1644" spans="1:8" hidden="1" x14ac:dyDescent="0.45">
      <c r="A1644">
        <v>1642</v>
      </c>
      <c r="B1644" t="s">
        <v>8</v>
      </c>
      <c r="C1644" s="3">
        <v>547806.09546368301</v>
      </c>
      <c r="D1644" s="3"/>
      <c r="E1644" s="3">
        <v>238708.48314660499</v>
      </c>
      <c r="F1644" s="3">
        <v>878077.79645438399</v>
      </c>
      <c r="G1644" s="1">
        <v>45230</v>
      </c>
      <c r="H1644" s="2">
        <v>45627</v>
      </c>
    </row>
    <row r="1645" spans="1:8" hidden="1" x14ac:dyDescent="0.45">
      <c r="A1645">
        <v>1643</v>
      </c>
      <c r="B1645" t="s">
        <v>8</v>
      </c>
      <c r="C1645" s="3">
        <v>1032664.99612213</v>
      </c>
      <c r="D1645" s="3"/>
      <c r="E1645" s="3">
        <v>517244.90461097</v>
      </c>
      <c r="F1645" s="3">
        <v>1600714.4898444</v>
      </c>
      <c r="G1645" s="1">
        <v>45230</v>
      </c>
      <c r="H1645" s="2">
        <v>45658</v>
      </c>
    </row>
    <row r="1646" spans="1:8" hidden="1" x14ac:dyDescent="0.45">
      <c r="A1646">
        <v>1644</v>
      </c>
      <c r="B1646" t="s">
        <v>8</v>
      </c>
      <c r="C1646" s="3">
        <v>855762.33028091199</v>
      </c>
      <c r="D1646" s="3"/>
      <c r="E1646" s="3">
        <v>422557.169984543</v>
      </c>
      <c r="F1646" s="3">
        <v>1335967.0147736401</v>
      </c>
      <c r="G1646" s="1">
        <v>45230</v>
      </c>
      <c r="H1646" s="2">
        <v>45689</v>
      </c>
    </row>
    <row r="1647" spans="1:8" hidden="1" x14ac:dyDescent="0.45">
      <c r="A1647">
        <v>1645</v>
      </c>
      <c r="B1647" t="s">
        <v>8</v>
      </c>
      <c r="C1647" s="3">
        <v>1238331.6498310501</v>
      </c>
      <c r="D1647" s="3"/>
      <c r="E1647" s="3">
        <v>648622.17366776103</v>
      </c>
      <c r="F1647" s="3">
        <v>1874398.85315769</v>
      </c>
      <c r="G1647" s="1">
        <v>45230</v>
      </c>
      <c r="H1647" s="2">
        <v>45717</v>
      </c>
    </row>
    <row r="1648" spans="1:8" hidden="1" x14ac:dyDescent="0.45">
      <c r="A1648">
        <v>1646</v>
      </c>
      <c r="B1648" t="s">
        <v>8</v>
      </c>
      <c r="C1648" s="3">
        <v>654852.92166386102</v>
      </c>
      <c r="D1648" s="3"/>
      <c r="E1648" s="3">
        <v>310381.14766258601</v>
      </c>
      <c r="F1648" s="3">
        <v>1039891.2843999401</v>
      </c>
      <c r="G1648" s="1">
        <v>45230</v>
      </c>
      <c r="H1648" s="2">
        <v>45748</v>
      </c>
    </row>
    <row r="1649" spans="1:8" hidden="1" x14ac:dyDescent="0.45">
      <c r="A1649">
        <v>1647</v>
      </c>
      <c r="B1649" t="s">
        <v>8</v>
      </c>
      <c r="C1649" s="3">
        <v>861403.11171072302</v>
      </c>
      <c r="D1649" s="3"/>
      <c r="E1649" s="3">
        <v>439502.53447921702</v>
      </c>
      <c r="F1649" s="3">
        <v>1316562.86763362</v>
      </c>
      <c r="G1649" s="1">
        <v>45230</v>
      </c>
      <c r="H1649" s="2">
        <v>45778</v>
      </c>
    </row>
    <row r="1650" spans="1:8" hidden="1" x14ac:dyDescent="0.45">
      <c r="A1650">
        <v>1648</v>
      </c>
      <c r="B1650" t="s">
        <v>8</v>
      </c>
      <c r="C1650" s="3">
        <v>944033.346776388</v>
      </c>
      <c r="D1650" s="3"/>
      <c r="E1650" s="3">
        <v>499539.01634570799</v>
      </c>
      <c r="F1650" s="3">
        <v>1448933.6006509401</v>
      </c>
      <c r="G1650" s="1">
        <v>45230</v>
      </c>
      <c r="H1650" s="2">
        <v>45809</v>
      </c>
    </row>
    <row r="1651" spans="1:8" hidden="1" x14ac:dyDescent="0.45">
      <c r="A1651">
        <v>1649</v>
      </c>
      <c r="B1651" t="s">
        <v>8</v>
      </c>
      <c r="C1651" s="3">
        <v>1059774.0255018999</v>
      </c>
      <c r="D1651" s="3"/>
      <c r="E1651" s="3">
        <v>558588.42108220002</v>
      </c>
      <c r="F1651" s="3">
        <v>1596395.7331042299</v>
      </c>
      <c r="G1651" s="1">
        <v>45230</v>
      </c>
      <c r="H1651" s="2">
        <v>45839</v>
      </c>
    </row>
    <row r="1652" spans="1:8" hidden="1" x14ac:dyDescent="0.45">
      <c r="A1652">
        <v>1650</v>
      </c>
      <c r="B1652" t="s">
        <v>8</v>
      </c>
      <c r="C1652" s="3">
        <v>1007689.28079109</v>
      </c>
      <c r="D1652" s="3"/>
      <c r="E1652" s="3">
        <v>539653.08894599997</v>
      </c>
      <c r="F1652" s="3">
        <v>1520103.3229753999</v>
      </c>
      <c r="G1652" s="1">
        <v>45230</v>
      </c>
      <c r="H1652" s="2">
        <v>45870</v>
      </c>
    </row>
    <row r="1653" spans="1:8" hidden="1" x14ac:dyDescent="0.45">
      <c r="A1653">
        <v>1651</v>
      </c>
      <c r="B1653" t="s">
        <v>8</v>
      </c>
      <c r="C1653" s="3">
        <v>966520.44402623095</v>
      </c>
      <c r="D1653" s="3"/>
      <c r="E1653" s="3">
        <v>525928.603551473</v>
      </c>
      <c r="F1653" s="3">
        <v>1445641.19193582</v>
      </c>
      <c r="G1653" s="1">
        <v>45230</v>
      </c>
      <c r="H1653" s="2">
        <v>45901</v>
      </c>
    </row>
    <row r="1654" spans="1:8" hidden="1" x14ac:dyDescent="0.45">
      <c r="A1654">
        <v>1652</v>
      </c>
      <c r="B1654" t="s">
        <v>8</v>
      </c>
      <c r="C1654" s="3">
        <v>832586.05431557202</v>
      </c>
      <c r="D1654" s="3"/>
      <c r="E1654" s="3">
        <v>454030.02855902899</v>
      </c>
      <c r="F1654" s="3">
        <v>1248674.0904183199</v>
      </c>
      <c r="G1654" s="1">
        <v>45230</v>
      </c>
      <c r="H1654" s="2">
        <v>45931</v>
      </c>
    </row>
    <row r="1655" spans="1:8" hidden="1" x14ac:dyDescent="0.45">
      <c r="A1655">
        <v>1653</v>
      </c>
      <c r="B1655" t="s">
        <v>7</v>
      </c>
      <c r="C1655" s="3">
        <v>137237.17561470799</v>
      </c>
      <c r="D1655" s="3">
        <v>28250.62</v>
      </c>
      <c r="E1655" s="3">
        <v>82054.918736827894</v>
      </c>
      <c r="F1655" s="3">
        <v>198764.460701565</v>
      </c>
      <c r="G1655" s="1">
        <v>45260</v>
      </c>
      <c r="H1655" s="2">
        <v>44228</v>
      </c>
    </row>
    <row r="1656" spans="1:8" hidden="1" x14ac:dyDescent="0.45">
      <c r="A1656">
        <v>1654</v>
      </c>
      <c r="B1656" t="s">
        <v>7</v>
      </c>
      <c r="C1656" s="3">
        <v>269758.47943617101</v>
      </c>
      <c r="D1656" s="3">
        <v>36247.919999999998</v>
      </c>
      <c r="E1656" s="3">
        <v>185668.10442600399</v>
      </c>
      <c r="F1656" s="3">
        <v>363396.877472024</v>
      </c>
      <c r="G1656" s="1">
        <v>45260</v>
      </c>
      <c r="H1656" s="2">
        <v>44256</v>
      </c>
    </row>
    <row r="1657" spans="1:8" hidden="1" x14ac:dyDescent="0.45">
      <c r="A1657">
        <v>1655</v>
      </c>
      <c r="B1657" t="s">
        <v>7</v>
      </c>
      <c r="C1657" s="3">
        <v>138067.36658363801</v>
      </c>
      <c r="D1657" s="3">
        <v>14721.48</v>
      </c>
      <c r="E1657" s="3">
        <v>77716.698991148107</v>
      </c>
      <c r="F1657" s="3">
        <v>198589.343450227</v>
      </c>
      <c r="G1657" s="1">
        <v>45260</v>
      </c>
      <c r="H1657" s="2">
        <v>44287</v>
      </c>
    </row>
    <row r="1658" spans="1:8" hidden="1" x14ac:dyDescent="0.45">
      <c r="A1658">
        <v>1656</v>
      </c>
      <c r="B1658" t="s">
        <v>7</v>
      </c>
      <c r="C1658" s="3">
        <v>210687.998882813</v>
      </c>
      <c r="D1658" s="3">
        <v>94346.71</v>
      </c>
      <c r="E1658" s="3">
        <v>129643.912465753</v>
      </c>
      <c r="F1658" s="3">
        <v>300160.840368342</v>
      </c>
      <c r="G1658" s="1">
        <v>45260</v>
      </c>
      <c r="H1658" s="2">
        <v>44317</v>
      </c>
    </row>
    <row r="1659" spans="1:8" hidden="1" x14ac:dyDescent="0.45">
      <c r="A1659">
        <v>1657</v>
      </c>
      <c r="B1659" t="s">
        <v>7</v>
      </c>
      <c r="C1659" s="3">
        <v>413795.50548702502</v>
      </c>
      <c r="D1659" s="3">
        <v>970740.72</v>
      </c>
      <c r="E1659" s="3">
        <v>267076.412930188</v>
      </c>
      <c r="F1659" s="3">
        <v>568754.79476743797</v>
      </c>
      <c r="G1659" s="1">
        <v>45260</v>
      </c>
      <c r="H1659" s="2">
        <v>44348</v>
      </c>
    </row>
    <row r="1660" spans="1:8" hidden="1" x14ac:dyDescent="0.45">
      <c r="A1660">
        <v>1658</v>
      </c>
      <c r="B1660" t="s">
        <v>7</v>
      </c>
      <c r="C1660" s="3">
        <v>960091.58357700706</v>
      </c>
      <c r="D1660" s="3">
        <v>1798271.24</v>
      </c>
      <c r="E1660" s="3">
        <v>659357.851728015</v>
      </c>
      <c r="F1660" s="3">
        <v>1293081.62245365</v>
      </c>
      <c r="G1660" s="1">
        <v>45260</v>
      </c>
      <c r="H1660" s="2">
        <v>44378</v>
      </c>
    </row>
    <row r="1661" spans="1:8" hidden="1" x14ac:dyDescent="0.45">
      <c r="A1661">
        <v>1659</v>
      </c>
      <c r="B1661" t="s">
        <v>7</v>
      </c>
      <c r="C1661" s="3">
        <v>985858.61968712602</v>
      </c>
      <c r="D1661" s="3">
        <v>700449.31</v>
      </c>
      <c r="E1661" s="3">
        <v>658719.73503431794</v>
      </c>
      <c r="F1661" s="3">
        <v>1332805.5344889599</v>
      </c>
      <c r="G1661" s="1">
        <v>45260</v>
      </c>
      <c r="H1661" s="2">
        <v>44409</v>
      </c>
    </row>
    <row r="1662" spans="1:8" hidden="1" x14ac:dyDescent="0.45">
      <c r="A1662">
        <v>1660</v>
      </c>
      <c r="B1662" t="s">
        <v>7</v>
      </c>
      <c r="C1662" s="3">
        <v>1051100.2585271699</v>
      </c>
      <c r="D1662" s="3">
        <v>1784906.52</v>
      </c>
      <c r="E1662" s="3">
        <v>709508.13542722794</v>
      </c>
      <c r="F1662" s="3">
        <v>1412919.74921133</v>
      </c>
      <c r="G1662" s="1">
        <v>45260</v>
      </c>
      <c r="H1662" s="2">
        <v>44440</v>
      </c>
    </row>
    <row r="1663" spans="1:8" hidden="1" x14ac:dyDescent="0.45">
      <c r="A1663">
        <v>1661</v>
      </c>
      <c r="B1663" t="s">
        <v>7</v>
      </c>
      <c r="C1663" s="3">
        <v>946554.78074702399</v>
      </c>
      <c r="D1663" s="3">
        <v>706422.77</v>
      </c>
      <c r="E1663" s="3">
        <v>606504.06593270204</v>
      </c>
      <c r="F1663" s="3">
        <v>1321310.16968512</v>
      </c>
      <c r="G1663" s="1">
        <v>45260</v>
      </c>
      <c r="H1663" s="2">
        <v>44470</v>
      </c>
    </row>
    <row r="1664" spans="1:8" hidden="1" x14ac:dyDescent="0.45">
      <c r="A1664">
        <v>1662</v>
      </c>
      <c r="B1664" t="s">
        <v>7</v>
      </c>
      <c r="C1664" s="3">
        <v>2030502.47420695</v>
      </c>
      <c r="D1664" s="3">
        <v>3115611.92</v>
      </c>
      <c r="E1664" s="3">
        <v>1487258.26195007</v>
      </c>
      <c r="F1664" s="3">
        <v>2606605.2679717499</v>
      </c>
      <c r="G1664" s="1">
        <v>45260</v>
      </c>
      <c r="H1664" s="2">
        <v>44501</v>
      </c>
    </row>
    <row r="1665" spans="1:8" hidden="1" x14ac:dyDescent="0.45">
      <c r="A1665">
        <v>1663</v>
      </c>
      <c r="B1665" t="s">
        <v>7</v>
      </c>
      <c r="C1665" s="3">
        <v>750841.39562014001</v>
      </c>
      <c r="D1665" s="3">
        <v>227049.91</v>
      </c>
      <c r="E1665" s="3">
        <v>423857.71134665998</v>
      </c>
      <c r="F1665" s="3">
        <v>1092958.1828011</v>
      </c>
      <c r="G1665" s="1">
        <v>45260</v>
      </c>
      <c r="H1665" s="2">
        <v>44531</v>
      </c>
    </row>
    <row r="1666" spans="1:8" hidden="1" x14ac:dyDescent="0.45">
      <c r="A1666">
        <v>1664</v>
      </c>
      <c r="B1666" t="s">
        <v>7</v>
      </c>
      <c r="C1666" s="3">
        <v>1297448.30297867</v>
      </c>
      <c r="D1666" s="3">
        <v>1231496.1499999999</v>
      </c>
      <c r="E1666" s="3">
        <v>830072.67967461795</v>
      </c>
      <c r="F1666" s="3">
        <v>1813889.3950440199</v>
      </c>
      <c r="G1666" s="1">
        <v>45260</v>
      </c>
      <c r="H1666" s="2">
        <v>44562</v>
      </c>
    </row>
    <row r="1667" spans="1:8" hidden="1" x14ac:dyDescent="0.45">
      <c r="A1667">
        <v>1665</v>
      </c>
      <c r="B1667" t="s">
        <v>7</v>
      </c>
      <c r="C1667" s="3">
        <v>1066480.46428424</v>
      </c>
      <c r="D1667" s="3">
        <v>1031231.86</v>
      </c>
      <c r="E1667" s="3">
        <v>651939.51626660198</v>
      </c>
      <c r="F1667" s="3">
        <v>1516351.1775937399</v>
      </c>
      <c r="G1667" s="1">
        <v>45260</v>
      </c>
      <c r="H1667" s="2">
        <v>44593</v>
      </c>
    </row>
    <row r="1668" spans="1:8" hidden="1" x14ac:dyDescent="0.45">
      <c r="A1668">
        <v>1666</v>
      </c>
      <c r="B1668" t="s">
        <v>7</v>
      </c>
      <c r="C1668" s="3">
        <v>1795403.9784711699</v>
      </c>
      <c r="D1668" s="3">
        <v>2866780.02</v>
      </c>
      <c r="E1668" s="3">
        <v>1196137.09231422</v>
      </c>
      <c r="F1668" s="3">
        <v>2443517.9714119602</v>
      </c>
      <c r="G1668" s="1">
        <v>45260</v>
      </c>
      <c r="H1668" s="2">
        <v>44621</v>
      </c>
    </row>
    <row r="1669" spans="1:8" hidden="1" x14ac:dyDescent="0.45">
      <c r="A1669">
        <v>1667</v>
      </c>
      <c r="B1669" t="s">
        <v>7</v>
      </c>
      <c r="C1669" s="3">
        <v>852420.26329310704</v>
      </c>
      <c r="D1669" s="3">
        <v>106305.83</v>
      </c>
      <c r="E1669" s="3">
        <v>492432.774556219</v>
      </c>
      <c r="F1669" s="3">
        <v>1254414.7219535001</v>
      </c>
      <c r="G1669" s="1">
        <v>45260</v>
      </c>
      <c r="H1669" s="2">
        <v>44652</v>
      </c>
    </row>
    <row r="1670" spans="1:8" hidden="1" x14ac:dyDescent="0.45">
      <c r="A1670">
        <v>1668</v>
      </c>
      <c r="B1670" t="s">
        <v>7</v>
      </c>
      <c r="C1670" s="3">
        <v>1129679.80057342</v>
      </c>
      <c r="D1670" s="3">
        <v>667164.73</v>
      </c>
      <c r="E1670" s="3">
        <v>686347.76205589599</v>
      </c>
      <c r="F1670" s="3">
        <v>1593961.2727554799</v>
      </c>
      <c r="G1670" s="1">
        <v>45260</v>
      </c>
      <c r="H1670" s="2">
        <v>44682</v>
      </c>
    </row>
    <row r="1671" spans="1:8" hidden="1" x14ac:dyDescent="0.45">
      <c r="A1671">
        <v>1669</v>
      </c>
      <c r="B1671" t="s">
        <v>7</v>
      </c>
      <c r="C1671" s="3">
        <v>1293424.54548367</v>
      </c>
      <c r="D1671" s="3">
        <v>1398761.09</v>
      </c>
      <c r="E1671" s="3">
        <v>796125.68229959602</v>
      </c>
      <c r="F1671" s="3">
        <v>1818557.36880991</v>
      </c>
      <c r="G1671" s="1">
        <v>45260</v>
      </c>
      <c r="H1671" s="2">
        <v>44713</v>
      </c>
    </row>
    <row r="1672" spans="1:8" hidden="1" x14ac:dyDescent="0.45">
      <c r="A1672">
        <v>1670</v>
      </c>
      <c r="B1672" t="s">
        <v>7</v>
      </c>
      <c r="C1672" s="3">
        <v>1418378.55642154</v>
      </c>
      <c r="D1672" s="3">
        <v>931475.54</v>
      </c>
      <c r="E1672" s="3">
        <v>881406.50591145095</v>
      </c>
      <c r="F1672" s="3">
        <v>2005877.32818121</v>
      </c>
      <c r="G1672" s="1">
        <v>45260</v>
      </c>
      <c r="H1672" s="2">
        <v>44743</v>
      </c>
    </row>
    <row r="1673" spans="1:8" hidden="1" x14ac:dyDescent="0.45">
      <c r="A1673">
        <v>1671</v>
      </c>
      <c r="B1673" t="s">
        <v>7</v>
      </c>
      <c r="C1673" s="3">
        <v>1269495.49856575</v>
      </c>
      <c r="D1673" s="3">
        <v>1335916.6499999999</v>
      </c>
      <c r="E1673" s="3">
        <v>785888.18029923202</v>
      </c>
      <c r="F1673" s="3">
        <v>1803246.15093056</v>
      </c>
      <c r="G1673" s="1">
        <v>45260</v>
      </c>
      <c r="H1673" s="2">
        <v>44774</v>
      </c>
    </row>
    <row r="1674" spans="1:8" hidden="1" x14ac:dyDescent="0.45">
      <c r="A1674">
        <v>1672</v>
      </c>
      <c r="B1674" t="s">
        <v>7</v>
      </c>
      <c r="C1674" s="3">
        <v>1212513.89822173</v>
      </c>
      <c r="D1674" s="3">
        <v>976647.27</v>
      </c>
      <c r="E1674" s="3">
        <v>741309.27128071897</v>
      </c>
      <c r="F1674" s="3">
        <v>1708531.7257290101</v>
      </c>
      <c r="G1674" s="1">
        <v>45260</v>
      </c>
      <c r="H1674" s="2">
        <v>44805</v>
      </c>
    </row>
    <row r="1675" spans="1:8" hidden="1" x14ac:dyDescent="0.45">
      <c r="A1675">
        <v>1673</v>
      </c>
      <c r="B1675" t="s">
        <v>7</v>
      </c>
      <c r="C1675" s="3">
        <v>1023238.49251158</v>
      </c>
      <c r="D1675" s="3">
        <v>975982.86</v>
      </c>
      <c r="E1675" s="3">
        <v>621688.45044922805</v>
      </c>
      <c r="F1675" s="3">
        <v>1479686.9835037</v>
      </c>
      <c r="G1675" s="1">
        <v>45260</v>
      </c>
      <c r="H1675" s="2">
        <v>44835</v>
      </c>
    </row>
    <row r="1676" spans="1:8" hidden="1" x14ac:dyDescent="0.45">
      <c r="A1676">
        <v>1674</v>
      </c>
      <c r="B1676" t="s">
        <v>7</v>
      </c>
      <c r="C1676" s="3">
        <v>2206539.90287469</v>
      </c>
      <c r="D1676" s="3">
        <v>2010415.16</v>
      </c>
      <c r="E1676" s="3">
        <v>1504581.09328586</v>
      </c>
      <c r="F1676" s="3">
        <v>2958800.6739066401</v>
      </c>
      <c r="G1676" s="1">
        <v>45260</v>
      </c>
      <c r="H1676" s="2">
        <v>44866</v>
      </c>
    </row>
    <row r="1677" spans="1:8" hidden="1" x14ac:dyDescent="0.45">
      <c r="A1677">
        <v>1675</v>
      </c>
      <c r="B1677" t="s">
        <v>7</v>
      </c>
      <c r="C1677" s="3">
        <v>699299.31082091702</v>
      </c>
      <c r="D1677" s="3">
        <v>348929.42</v>
      </c>
      <c r="E1677" s="3">
        <v>384090.73368342302</v>
      </c>
      <c r="F1677" s="3">
        <v>1051362.1663390601</v>
      </c>
      <c r="G1677" s="1">
        <v>45260</v>
      </c>
      <c r="H1677" s="2">
        <v>44896</v>
      </c>
    </row>
    <row r="1678" spans="1:8" hidden="1" x14ac:dyDescent="0.45">
      <c r="A1678">
        <v>1676</v>
      </c>
      <c r="B1678" t="s">
        <v>7</v>
      </c>
      <c r="C1678" s="3">
        <v>1206111.5027973701</v>
      </c>
      <c r="D1678" s="3">
        <v>1096298.6399999999</v>
      </c>
      <c r="E1678" s="3">
        <v>725168.85952871502</v>
      </c>
      <c r="F1678" s="3">
        <v>1724095.9995490899</v>
      </c>
      <c r="G1678" s="1">
        <v>45260</v>
      </c>
      <c r="H1678" s="2">
        <v>44927</v>
      </c>
    </row>
    <row r="1679" spans="1:8" hidden="1" x14ac:dyDescent="0.45">
      <c r="A1679">
        <v>1677</v>
      </c>
      <c r="B1679" t="s">
        <v>7</v>
      </c>
      <c r="C1679" s="3">
        <v>983971.19773152599</v>
      </c>
      <c r="D1679" s="3">
        <v>1036928.47</v>
      </c>
      <c r="E1679" s="3">
        <v>572920.17463271902</v>
      </c>
      <c r="F1679" s="3">
        <v>1429248.6752655399</v>
      </c>
      <c r="G1679" s="1">
        <v>45260</v>
      </c>
      <c r="H1679" s="2">
        <v>44958</v>
      </c>
    </row>
    <row r="1680" spans="1:8" hidden="1" x14ac:dyDescent="0.45">
      <c r="A1680">
        <v>1678</v>
      </c>
      <c r="B1680" t="s">
        <v>7</v>
      </c>
      <c r="C1680" s="3">
        <v>1524595.6828079</v>
      </c>
      <c r="D1680" s="3">
        <v>660363.89</v>
      </c>
      <c r="E1680" s="3">
        <v>944752.83939038403</v>
      </c>
      <c r="F1680" s="3">
        <v>2147835.60897541</v>
      </c>
      <c r="G1680" s="1">
        <v>45260</v>
      </c>
      <c r="H1680" s="2">
        <v>44986</v>
      </c>
    </row>
    <row r="1681" spans="1:8" hidden="1" x14ac:dyDescent="0.45">
      <c r="A1681">
        <v>1679</v>
      </c>
      <c r="B1681" t="s">
        <v>7</v>
      </c>
      <c r="C1681" s="3">
        <v>737684.70213610097</v>
      </c>
      <c r="D1681" s="3">
        <v>1093282.48</v>
      </c>
      <c r="E1681" s="3">
        <v>406294.50980137399</v>
      </c>
      <c r="F1681" s="3">
        <v>1099401.5849981899</v>
      </c>
      <c r="G1681" s="1">
        <v>45260</v>
      </c>
      <c r="H1681" s="2">
        <v>45017</v>
      </c>
    </row>
    <row r="1682" spans="1:8" hidden="1" x14ac:dyDescent="0.45">
      <c r="A1682">
        <v>1680</v>
      </c>
      <c r="B1682" t="s">
        <v>7</v>
      </c>
      <c r="C1682" s="3">
        <v>1010244.3713549</v>
      </c>
      <c r="D1682" s="3">
        <v>1212297.6200000001</v>
      </c>
      <c r="E1682" s="3">
        <v>577973.06352700596</v>
      </c>
      <c r="F1682" s="3">
        <v>1487803.53871857</v>
      </c>
      <c r="G1682" s="1">
        <v>45260</v>
      </c>
      <c r="H1682" s="2">
        <v>45047</v>
      </c>
    </row>
    <row r="1683" spans="1:8" hidden="1" x14ac:dyDescent="0.45">
      <c r="A1683">
        <v>1681</v>
      </c>
      <c r="B1683" t="s">
        <v>7</v>
      </c>
      <c r="C1683" s="3">
        <v>1100879.07560015</v>
      </c>
      <c r="D1683" s="3">
        <v>1041503.83</v>
      </c>
      <c r="E1683" s="3">
        <v>650758.95186194999</v>
      </c>
      <c r="F1683" s="3">
        <v>1601579.2459235101</v>
      </c>
      <c r="G1683" s="1">
        <v>45260</v>
      </c>
      <c r="H1683" s="2">
        <v>45078</v>
      </c>
    </row>
    <row r="1684" spans="1:8" hidden="1" x14ac:dyDescent="0.45">
      <c r="A1684">
        <v>1682</v>
      </c>
      <c r="B1684" t="s">
        <v>7</v>
      </c>
      <c r="C1684" s="3">
        <v>1205972.0028691499</v>
      </c>
      <c r="D1684" s="3">
        <v>1103446</v>
      </c>
      <c r="E1684" s="3">
        <v>716823.84181130899</v>
      </c>
      <c r="F1684" s="3">
        <v>1740911.9660274601</v>
      </c>
      <c r="G1684" s="1">
        <v>45260</v>
      </c>
      <c r="H1684" s="2">
        <v>45108</v>
      </c>
    </row>
    <row r="1685" spans="1:8" hidden="1" x14ac:dyDescent="0.45">
      <c r="A1685">
        <v>1683</v>
      </c>
      <c r="B1685" t="s">
        <v>7</v>
      </c>
      <c r="C1685" s="3">
        <v>1148833.00580005</v>
      </c>
      <c r="D1685" s="3">
        <v>1157502.68</v>
      </c>
      <c r="E1685" s="3">
        <v>680911.10613776406</v>
      </c>
      <c r="F1685" s="3">
        <v>1649806.55010763</v>
      </c>
      <c r="G1685" s="1">
        <v>45260</v>
      </c>
      <c r="H1685" s="2">
        <v>45139</v>
      </c>
    </row>
    <row r="1686" spans="1:8" hidden="1" x14ac:dyDescent="0.45">
      <c r="A1686">
        <v>1684</v>
      </c>
      <c r="B1686" t="s">
        <v>7</v>
      </c>
      <c r="C1686" s="3">
        <v>1122687.47672364</v>
      </c>
      <c r="D1686" s="3">
        <v>1330269.6499999999</v>
      </c>
      <c r="E1686" s="3">
        <v>654824.376548014</v>
      </c>
      <c r="F1686" s="3">
        <v>1618107.7237452699</v>
      </c>
      <c r="G1686" s="1">
        <v>45260</v>
      </c>
      <c r="H1686" s="2">
        <v>45170</v>
      </c>
    </row>
    <row r="1687" spans="1:8" hidden="1" x14ac:dyDescent="0.45">
      <c r="A1687">
        <v>1685</v>
      </c>
      <c r="B1687" t="s">
        <v>7</v>
      </c>
      <c r="C1687" s="3">
        <v>978387.86335350096</v>
      </c>
      <c r="D1687" s="3">
        <v>1219536.81</v>
      </c>
      <c r="E1687" s="3">
        <v>555457.85942510201</v>
      </c>
      <c r="F1687" s="3">
        <v>1432434.81252123</v>
      </c>
      <c r="G1687" s="1">
        <v>45260</v>
      </c>
      <c r="H1687" s="2">
        <v>45200</v>
      </c>
    </row>
    <row r="1688" spans="1:8" hidden="1" x14ac:dyDescent="0.45">
      <c r="A1688">
        <v>1686</v>
      </c>
      <c r="B1688" t="s">
        <v>7</v>
      </c>
      <c r="C1688" s="3">
        <v>2049361.3608461199</v>
      </c>
      <c r="D1688" s="3">
        <v>2038136.91</v>
      </c>
      <c r="E1688" s="3">
        <v>1311610.1105293101</v>
      </c>
      <c r="F1688" s="3">
        <v>2851531.9049106902</v>
      </c>
      <c r="G1688" s="1">
        <v>45260</v>
      </c>
      <c r="H1688" s="2">
        <v>45231</v>
      </c>
    </row>
    <row r="1689" spans="1:8" hidden="1" x14ac:dyDescent="0.45">
      <c r="A1689">
        <v>1687</v>
      </c>
      <c r="B1689" t="s">
        <v>8</v>
      </c>
      <c r="C1689" s="3">
        <v>648965.15953715798</v>
      </c>
      <c r="D1689" s="3">
        <v>862725.25</v>
      </c>
      <c r="E1689" s="3">
        <v>319800.99133018602</v>
      </c>
      <c r="F1689" s="3">
        <v>1002301.67540035</v>
      </c>
      <c r="G1689" s="1">
        <v>45260</v>
      </c>
      <c r="H1689" s="2">
        <v>45261</v>
      </c>
    </row>
    <row r="1690" spans="1:8" hidden="1" x14ac:dyDescent="0.45">
      <c r="A1690">
        <v>1688</v>
      </c>
      <c r="B1690" t="s">
        <v>8</v>
      </c>
      <c r="C1690" s="3">
        <v>1109340.38941532</v>
      </c>
      <c r="D1690" s="3">
        <v>1309003.27</v>
      </c>
      <c r="E1690" s="3">
        <v>630672.67990780796</v>
      </c>
      <c r="F1690" s="3">
        <v>1649981.19551176</v>
      </c>
      <c r="G1690" s="1">
        <v>45260</v>
      </c>
      <c r="H1690" s="2">
        <v>45292</v>
      </c>
    </row>
    <row r="1691" spans="1:8" hidden="1" x14ac:dyDescent="0.45">
      <c r="A1691">
        <v>1689</v>
      </c>
      <c r="B1691" t="s">
        <v>8</v>
      </c>
      <c r="C1691" s="3">
        <v>918175.97455640405</v>
      </c>
      <c r="D1691" s="3">
        <v>890459.61999999895</v>
      </c>
      <c r="E1691" s="3">
        <v>492691.63329430402</v>
      </c>
      <c r="F1691" s="3">
        <v>1390136.02611481</v>
      </c>
      <c r="G1691" s="1">
        <v>45260</v>
      </c>
      <c r="H1691" s="2">
        <v>45323</v>
      </c>
    </row>
    <row r="1692" spans="1:8" hidden="1" x14ac:dyDescent="0.45">
      <c r="A1692">
        <v>1690</v>
      </c>
      <c r="B1692" t="s">
        <v>8</v>
      </c>
      <c r="C1692" s="3">
        <v>1320478.39520443</v>
      </c>
      <c r="D1692" s="3">
        <v>906202.34</v>
      </c>
      <c r="E1692" s="3">
        <v>741230.98717704101</v>
      </c>
      <c r="F1692" s="3">
        <v>1948518.2693962001</v>
      </c>
      <c r="G1692" s="1">
        <v>45260</v>
      </c>
      <c r="H1692" s="2">
        <v>45352</v>
      </c>
    </row>
    <row r="1693" spans="1:8" hidden="1" x14ac:dyDescent="0.45">
      <c r="A1693">
        <v>1691</v>
      </c>
      <c r="B1693" t="s">
        <v>8</v>
      </c>
      <c r="C1693" s="3">
        <v>688064.94994229102</v>
      </c>
      <c r="D1693" s="3">
        <v>1341496.55</v>
      </c>
      <c r="E1693" s="3">
        <v>358986.15573575499</v>
      </c>
      <c r="F1693" s="3">
        <v>1056857.2660538801</v>
      </c>
      <c r="G1693" s="1">
        <v>45260</v>
      </c>
      <c r="H1693" s="2">
        <v>45383</v>
      </c>
    </row>
    <row r="1694" spans="1:8" hidden="1" x14ac:dyDescent="0.45">
      <c r="A1694">
        <v>1692</v>
      </c>
      <c r="B1694" t="s">
        <v>8</v>
      </c>
      <c r="C1694" s="3">
        <v>920963.33888733899</v>
      </c>
      <c r="D1694" s="3">
        <v>763223.10999999905</v>
      </c>
      <c r="E1694" s="3">
        <v>486389.01647868298</v>
      </c>
      <c r="F1694" s="3">
        <v>1437202.0204906899</v>
      </c>
      <c r="G1694" s="1">
        <v>45260</v>
      </c>
      <c r="H1694" s="2">
        <v>45413</v>
      </c>
    </row>
    <row r="1695" spans="1:8" hidden="1" x14ac:dyDescent="0.45">
      <c r="A1695">
        <v>1693</v>
      </c>
      <c r="B1695" t="s">
        <v>8</v>
      </c>
      <c r="C1695" s="3">
        <v>972822.92287177104</v>
      </c>
      <c r="D1695" s="3">
        <v>758619.02999999898</v>
      </c>
      <c r="E1695" s="3">
        <v>541347.090175041</v>
      </c>
      <c r="F1695" s="3">
        <v>1452928.123251</v>
      </c>
      <c r="G1695" s="1">
        <v>45260</v>
      </c>
      <c r="H1695" s="2">
        <v>45444</v>
      </c>
    </row>
    <row r="1696" spans="1:8" hidden="1" x14ac:dyDescent="0.45">
      <c r="A1696">
        <v>1694</v>
      </c>
      <c r="B1696" t="s">
        <v>8</v>
      </c>
      <c r="C1696" s="3">
        <v>1054716.57537276</v>
      </c>
      <c r="D1696" s="3">
        <v>847567.24</v>
      </c>
      <c r="E1696" s="3">
        <v>587750.22065766295</v>
      </c>
      <c r="F1696" s="3">
        <v>1569648.2356054201</v>
      </c>
      <c r="G1696" s="1">
        <v>45260</v>
      </c>
      <c r="H1696" s="2">
        <v>45474</v>
      </c>
    </row>
    <row r="1697" spans="1:8" hidden="1" x14ac:dyDescent="0.45">
      <c r="A1697">
        <v>1695</v>
      </c>
      <c r="B1697" t="s">
        <v>8</v>
      </c>
      <c r="C1697" s="3">
        <v>1025768.90952341</v>
      </c>
      <c r="D1697" s="3">
        <v>827254.94</v>
      </c>
      <c r="E1697" s="3">
        <v>575361.93974510196</v>
      </c>
      <c r="F1697" s="3">
        <v>1523710.67570558</v>
      </c>
      <c r="G1697" s="1">
        <v>45260</v>
      </c>
      <c r="H1697" s="2">
        <v>45505</v>
      </c>
    </row>
    <row r="1698" spans="1:8" hidden="1" x14ac:dyDescent="0.45">
      <c r="A1698">
        <v>1696</v>
      </c>
      <c r="B1698" t="s">
        <v>8</v>
      </c>
      <c r="C1698" s="3">
        <v>990597.39254789404</v>
      </c>
      <c r="D1698" s="3">
        <v>1428072</v>
      </c>
      <c r="E1698" s="3">
        <v>559597.58518807299</v>
      </c>
      <c r="F1698" s="3">
        <v>1458896.6400085201</v>
      </c>
      <c r="G1698" s="1">
        <v>45260</v>
      </c>
      <c r="H1698" s="2">
        <v>45536</v>
      </c>
    </row>
    <row r="1699" spans="1:8" hidden="1" x14ac:dyDescent="0.45">
      <c r="A1699">
        <v>1697</v>
      </c>
      <c r="B1699" t="s">
        <v>8</v>
      </c>
      <c r="C1699" s="3">
        <v>847730.12138760195</v>
      </c>
      <c r="D1699" s="3">
        <v>551829.12999999896</v>
      </c>
      <c r="E1699" s="3">
        <v>467124.72354568599</v>
      </c>
      <c r="F1699" s="3">
        <v>1274111.9585344701</v>
      </c>
      <c r="G1699" s="1">
        <v>45260</v>
      </c>
      <c r="H1699" s="2">
        <v>45566</v>
      </c>
    </row>
    <row r="1700" spans="1:8" hidden="1" x14ac:dyDescent="0.45">
      <c r="A1700">
        <v>1698</v>
      </c>
      <c r="B1700" t="s">
        <v>8</v>
      </c>
      <c r="C1700" s="3">
        <v>1734077.8154734699</v>
      </c>
      <c r="D1700" s="3"/>
      <c r="E1700" s="3">
        <v>1069410.7722978999</v>
      </c>
      <c r="F1700" s="3">
        <v>2486286.5795762101</v>
      </c>
      <c r="G1700" s="1">
        <v>45260</v>
      </c>
      <c r="H1700" s="2">
        <v>45597</v>
      </c>
    </row>
    <row r="1701" spans="1:8" hidden="1" x14ac:dyDescent="0.45">
      <c r="A1701">
        <v>1699</v>
      </c>
      <c r="B1701" t="s">
        <v>8</v>
      </c>
      <c r="C1701" s="3">
        <v>588718.53697011201</v>
      </c>
      <c r="D1701" s="3"/>
      <c r="E1701" s="3">
        <v>286430.00791902799</v>
      </c>
      <c r="F1701" s="3">
        <v>928133.74846824305</v>
      </c>
      <c r="G1701" s="1">
        <v>45260</v>
      </c>
      <c r="H1701" s="2">
        <v>45627</v>
      </c>
    </row>
    <row r="1702" spans="1:8" hidden="1" x14ac:dyDescent="0.45">
      <c r="A1702">
        <v>1700</v>
      </c>
      <c r="B1702" t="s">
        <v>8</v>
      </c>
      <c r="C1702" s="3">
        <v>1011898.91615128</v>
      </c>
      <c r="D1702" s="3"/>
      <c r="E1702" s="3">
        <v>556044.94682324701</v>
      </c>
      <c r="F1702" s="3">
        <v>1524577.94251642</v>
      </c>
      <c r="G1702" s="1">
        <v>45260</v>
      </c>
      <c r="H1702" s="2">
        <v>45658</v>
      </c>
    </row>
    <row r="1703" spans="1:8" hidden="1" x14ac:dyDescent="0.45">
      <c r="A1703">
        <v>1701</v>
      </c>
      <c r="B1703" t="s">
        <v>8</v>
      </c>
      <c r="C1703" s="3">
        <v>857570.804450367</v>
      </c>
      <c r="D1703" s="3"/>
      <c r="E1703" s="3">
        <v>451390.43583652301</v>
      </c>
      <c r="F1703" s="3">
        <v>1316322.81427659</v>
      </c>
      <c r="G1703" s="1">
        <v>45260</v>
      </c>
      <c r="H1703" s="2">
        <v>45689</v>
      </c>
    </row>
    <row r="1704" spans="1:8" hidden="1" x14ac:dyDescent="0.45">
      <c r="A1704">
        <v>1702</v>
      </c>
      <c r="B1704" t="s">
        <v>8</v>
      </c>
      <c r="C1704" s="3">
        <v>1221503.77251515</v>
      </c>
      <c r="D1704" s="3"/>
      <c r="E1704" s="3">
        <v>672105.55822159699</v>
      </c>
      <c r="F1704" s="3">
        <v>1831344.4336204899</v>
      </c>
      <c r="G1704" s="1">
        <v>45260</v>
      </c>
      <c r="H1704" s="2">
        <v>45717</v>
      </c>
    </row>
    <row r="1705" spans="1:8" hidden="1" x14ac:dyDescent="0.45">
      <c r="A1705">
        <v>1703</v>
      </c>
      <c r="B1705" t="s">
        <v>8</v>
      </c>
      <c r="C1705" s="3">
        <v>663461.88498956698</v>
      </c>
      <c r="D1705" s="3"/>
      <c r="E1705" s="3">
        <v>341800.94829414401</v>
      </c>
      <c r="F1705" s="3">
        <v>1025809.17894811</v>
      </c>
      <c r="G1705" s="1">
        <v>45260</v>
      </c>
      <c r="H1705" s="2">
        <v>45748</v>
      </c>
    </row>
    <row r="1706" spans="1:8" hidden="1" x14ac:dyDescent="0.45">
      <c r="A1706">
        <v>1704</v>
      </c>
      <c r="B1706" t="s">
        <v>8</v>
      </c>
      <c r="C1706" s="3">
        <v>887844.58028839401</v>
      </c>
      <c r="D1706" s="3"/>
      <c r="E1706" s="3">
        <v>444725.20786522701</v>
      </c>
      <c r="F1706" s="3">
        <v>1389464.8401312099</v>
      </c>
      <c r="G1706" s="1">
        <v>45260</v>
      </c>
      <c r="H1706" s="2">
        <v>45778</v>
      </c>
    </row>
    <row r="1707" spans="1:8" hidden="1" x14ac:dyDescent="0.45">
      <c r="A1707">
        <v>1705</v>
      </c>
      <c r="B1707" t="s">
        <v>8</v>
      </c>
      <c r="C1707" s="3">
        <v>941643.520186687</v>
      </c>
      <c r="D1707" s="3"/>
      <c r="E1707" s="3">
        <v>520788.44384878798</v>
      </c>
      <c r="F1707" s="3">
        <v>1415153.41388726</v>
      </c>
      <c r="G1707" s="1">
        <v>45260</v>
      </c>
      <c r="H1707" s="2">
        <v>45809</v>
      </c>
    </row>
    <row r="1708" spans="1:8" hidden="1" x14ac:dyDescent="0.45">
      <c r="A1708">
        <v>1706</v>
      </c>
      <c r="B1708" t="s">
        <v>8</v>
      </c>
      <c r="C1708" s="3">
        <v>1026015.7858668</v>
      </c>
      <c r="D1708" s="3"/>
      <c r="E1708" s="3">
        <v>582481.78927521501</v>
      </c>
      <c r="F1708" s="3">
        <v>1546085.8491988899</v>
      </c>
      <c r="G1708" s="1">
        <v>45260</v>
      </c>
      <c r="H1708" s="2">
        <v>45839</v>
      </c>
    </row>
    <row r="1709" spans="1:8" hidden="1" x14ac:dyDescent="0.45">
      <c r="A1709">
        <v>1707</v>
      </c>
      <c r="B1709" t="s">
        <v>8</v>
      </c>
      <c r="C1709" s="3">
        <v>1002429.72084953</v>
      </c>
      <c r="D1709" s="3"/>
      <c r="E1709" s="3">
        <v>553152.89624932304</v>
      </c>
      <c r="F1709" s="3">
        <v>1484226.5175721899</v>
      </c>
      <c r="G1709" s="1">
        <v>45260</v>
      </c>
      <c r="H1709" s="2">
        <v>45870</v>
      </c>
    </row>
    <row r="1710" spans="1:8" hidden="1" x14ac:dyDescent="0.45">
      <c r="A1710">
        <v>1708</v>
      </c>
      <c r="B1710" t="s">
        <v>8</v>
      </c>
      <c r="C1710" s="3">
        <v>974328.63894623204</v>
      </c>
      <c r="D1710" s="3"/>
      <c r="E1710" s="3">
        <v>541196.61166232103</v>
      </c>
      <c r="F1710" s="3">
        <v>1432532.18293666</v>
      </c>
      <c r="G1710" s="1">
        <v>45260</v>
      </c>
      <c r="H1710" s="2">
        <v>45901</v>
      </c>
    </row>
    <row r="1711" spans="1:8" hidden="1" x14ac:dyDescent="0.45">
      <c r="A1711">
        <v>1709</v>
      </c>
      <c r="B1711" t="s">
        <v>8</v>
      </c>
      <c r="C1711" s="3">
        <v>834803.73972439801</v>
      </c>
      <c r="D1711" s="3"/>
      <c r="E1711" s="3">
        <v>457842.41863166902</v>
      </c>
      <c r="F1711" s="3">
        <v>1259930.9848189</v>
      </c>
      <c r="G1711" s="1">
        <v>45260</v>
      </c>
      <c r="H1711" s="2">
        <v>45931</v>
      </c>
    </row>
    <row r="1712" spans="1:8" hidden="1" x14ac:dyDescent="0.45">
      <c r="A1712">
        <v>1710</v>
      </c>
      <c r="B1712" t="s">
        <v>7</v>
      </c>
      <c r="C1712" s="3">
        <v>134922.89663207001</v>
      </c>
      <c r="D1712" s="3">
        <v>28250.62</v>
      </c>
      <c r="E1712" s="3">
        <v>80491.908152183707</v>
      </c>
      <c r="F1712" s="3">
        <v>188898.64707550401</v>
      </c>
      <c r="G1712" s="1">
        <v>45291</v>
      </c>
      <c r="H1712" s="2">
        <v>44228</v>
      </c>
    </row>
    <row r="1713" spans="1:8" hidden="1" x14ac:dyDescent="0.45">
      <c r="A1713">
        <v>1711</v>
      </c>
      <c r="B1713" t="s">
        <v>7</v>
      </c>
      <c r="C1713" s="3">
        <v>267302.528843618</v>
      </c>
      <c r="D1713" s="3">
        <v>36247.919999999998</v>
      </c>
      <c r="E1713" s="3">
        <v>174199.25102796199</v>
      </c>
      <c r="F1713" s="3">
        <v>369959.33407374902</v>
      </c>
      <c r="G1713" s="1">
        <v>45291</v>
      </c>
      <c r="H1713" s="2">
        <v>44256</v>
      </c>
    </row>
    <row r="1714" spans="1:8" hidden="1" x14ac:dyDescent="0.45">
      <c r="A1714">
        <v>1712</v>
      </c>
      <c r="B1714" t="s">
        <v>7</v>
      </c>
      <c r="C1714" s="3">
        <v>141438.345219084</v>
      </c>
      <c r="D1714" s="3">
        <v>14721.48</v>
      </c>
      <c r="E1714" s="3">
        <v>81325.175693335594</v>
      </c>
      <c r="F1714" s="3">
        <v>208911.86153128601</v>
      </c>
      <c r="G1714" s="1">
        <v>45291</v>
      </c>
      <c r="H1714" s="2">
        <v>44287</v>
      </c>
    </row>
    <row r="1715" spans="1:8" hidden="1" x14ac:dyDescent="0.45">
      <c r="A1715">
        <v>1713</v>
      </c>
      <c r="B1715" t="s">
        <v>7</v>
      </c>
      <c r="C1715" s="3">
        <v>201793.054828261</v>
      </c>
      <c r="D1715" s="3">
        <v>94346.71</v>
      </c>
      <c r="E1715" s="3">
        <v>122152.113645121</v>
      </c>
      <c r="F1715" s="3">
        <v>288325.61955067399</v>
      </c>
      <c r="G1715" s="1">
        <v>45291</v>
      </c>
      <c r="H1715" s="2">
        <v>44317</v>
      </c>
    </row>
    <row r="1716" spans="1:8" hidden="1" x14ac:dyDescent="0.45">
      <c r="A1716">
        <v>1714</v>
      </c>
      <c r="B1716" t="s">
        <v>7</v>
      </c>
      <c r="C1716" s="3">
        <v>405066.29523431201</v>
      </c>
      <c r="D1716" s="3">
        <v>970740.72</v>
      </c>
      <c r="E1716" s="3">
        <v>248818.20908180499</v>
      </c>
      <c r="F1716" s="3">
        <v>570344.27869583503</v>
      </c>
      <c r="G1716" s="1">
        <v>45291</v>
      </c>
      <c r="H1716" s="2">
        <v>44348</v>
      </c>
    </row>
    <row r="1717" spans="1:8" hidden="1" x14ac:dyDescent="0.45">
      <c r="A1717">
        <v>1715</v>
      </c>
      <c r="B1717" t="s">
        <v>7</v>
      </c>
      <c r="C1717" s="3">
        <v>944805.75346305105</v>
      </c>
      <c r="D1717" s="3">
        <v>1798271.24</v>
      </c>
      <c r="E1717" s="3">
        <v>638117.75009277905</v>
      </c>
      <c r="F1717" s="3">
        <v>1262105.919369</v>
      </c>
      <c r="G1717" s="1">
        <v>45291</v>
      </c>
      <c r="H1717" s="2">
        <v>44378</v>
      </c>
    </row>
    <row r="1718" spans="1:8" hidden="1" x14ac:dyDescent="0.45">
      <c r="A1718">
        <v>1716</v>
      </c>
      <c r="B1718" t="s">
        <v>7</v>
      </c>
      <c r="C1718" s="3">
        <v>981078.50066401297</v>
      </c>
      <c r="D1718" s="3">
        <v>700449.31</v>
      </c>
      <c r="E1718" s="3">
        <v>657545.83973281295</v>
      </c>
      <c r="F1718" s="3">
        <v>1351288.7094234801</v>
      </c>
      <c r="G1718" s="1">
        <v>45291</v>
      </c>
      <c r="H1718" s="2">
        <v>44409</v>
      </c>
    </row>
    <row r="1719" spans="1:8" hidden="1" x14ac:dyDescent="0.45">
      <c r="A1719">
        <v>1717</v>
      </c>
      <c r="B1719" t="s">
        <v>7</v>
      </c>
      <c r="C1719" s="3">
        <v>1053840.9272914999</v>
      </c>
      <c r="D1719" s="3">
        <v>1784906.52</v>
      </c>
      <c r="E1719" s="3">
        <v>708276.13961078797</v>
      </c>
      <c r="F1719" s="3">
        <v>1422804.00694261</v>
      </c>
      <c r="G1719" s="1">
        <v>45291</v>
      </c>
      <c r="H1719" s="2">
        <v>44440</v>
      </c>
    </row>
    <row r="1720" spans="1:8" hidden="1" x14ac:dyDescent="0.45">
      <c r="A1720">
        <v>1718</v>
      </c>
      <c r="B1720" t="s">
        <v>7</v>
      </c>
      <c r="C1720" s="3">
        <v>939698.99123728496</v>
      </c>
      <c r="D1720" s="3">
        <v>706422.77</v>
      </c>
      <c r="E1720" s="3">
        <v>605046.45014237298</v>
      </c>
      <c r="F1720" s="3">
        <v>1298001.70095599</v>
      </c>
      <c r="G1720" s="1">
        <v>45291</v>
      </c>
      <c r="H1720" s="2">
        <v>44470</v>
      </c>
    </row>
    <row r="1721" spans="1:8" hidden="1" x14ac:dyDescent="0.45">
      <c r="A1721">
        <v>1719</v>
      </c>
      <c r="B1721" t="s">
        <v>7</v>
      </c>
      <c r="C1721" s="3">
        <v>2006103.56727434</v>
      </c>
      <c r="D1721" s="3">
        <v>3115611.92</v>
      </c>
      <c r="E1721" s="3">
        <v>1453286.3136335399</v>
      </c>
      <c r="F1721" s="3">
        <v>2591891.9327942398</v>
      </c>
      <c r="G1721" s="1">
        <v>45291</v>
      </c>
      <c r="H1721" s="2">
        <v>44501</v>
      </c>
    </row>
    <row r="1722" spans="1:8" hidden="1" x14ac:dyDescent="0.45">
      <c r="A1722">
        <v>1720</v>
      </c>
      <c r="B1722" t="s">
        <v>7</v>
      </c>
      <c r="C1722" s="3">
        <v>789517.283743295</v>
      </c>
      <c r="D1722" s="3">
        <v>227049.91</v>
      </c>
      <c r="E1722" s="3">
        <v>459283.511047234</v>
      </c>
      <c r="F1722" s="3">
        <v>1138311.2220090399</v>
      </c>
      <c r="G1722" s="1">
        <v>45291</v>
      </c>
      <c r="H1722" s="2">
        <v>44531</v>
      </c>
    </row>
    <row r="1723" spans="1:8" hidden="1" x14ac:dyDescent="0.45">
      <c r="A1723">
        <v>1721</v>
      </c>
      <c r="B1723" t="s">
        <v>7</v>
      </c>
      <c r="C1723" s="3">
        <v>1288598.02174937</v>
      </c>
      <c r="D1723" s="3">
        <v>1231496.1499999999</v>
      </c>
      <c r="E1723" s="3">
        <v>830758.79477445595</v>
      </c>
      <c r="F1723" s="3">
        <v>1805436.2507733</v>
      </c>
      <c r="G1723" s="1">
        <v>45291</v>
      </c>
      <c r="H1723" s="2">
        <v>44562</v>
      </c>
    </row>
    <row r="1724" spans="1:8" hidden="1" x14ac:dyDescent="0.45">
      <c r="A1724">
        <v>1722</v>
      </c>
      <c r="B1724" t="s">
        <v>7</v>
      </c>
      <c r="C1724" s="3">
        <v>1080746.32424039</v>
      </c>
      <c r="D1724" s="3">
        <v>1031231.86</v>
      </c>
      <c r="E1724" s="3">
        <v>672959.15078985295</v>
      </c>
      <c r="F1724" s="3">
        <v>1530765.48404651</v>
      </c>
      <c r="G1724" s="1">
        <v>45291</v>
      </c>
      <c r="H1724" s="2">
        <v>44593</v>
      </c>
    </row>
    <row r="1725" spans="1:8" hidden="1" x14ac:dyDescent="0.45">
      <c r="A1725">
        <v>1723</v>
      </c>
      <c r="B1725" t="s">
        <v>7</v>
      </c>
      <c r="C1725" s="3">
        <v>1785242.6541281401</v>
      </c>
      <c r="D1725" s="3">
        <v>2866780.02</v>
      </c>
      <c r="E1725" s="3">
        <v>1167202.16343222</v>
      </c>
      <c r="F1725" s="3">
        <v>2443543.4892512001</v>
      </c>
      <c r="G1725" s="1">
        <v>45291</v>
      </c>
      <c r="H1725" s="2">
        <v>44621</v>
      </c>
    </row>
    <row r="1726" spans="1:8" hidden="1" x14ac:dyDescent="0.45">
      <c r="A1726">
        <v>1724</v>
      </c>
      <c r="B1726" t="s">
        <v>7</v>
      </c>
      <c r="C1726" s="3">
        <v>875484.80790446803</v>
      </c>
      <c r="D1726" s="3">
        <v>106305.83</v>
      </c>
      <c r="E1726" s="3">
        <v>500508.71681944199</v>
      </c>
      <c r="F1726" s="3">
        <v>1275065.3858119899</v>
      </c>
      <c r="G1726" s="1">
        <v>45291</v>
      </c>
      <c r="H1726" s="2">
        <v>44652</v>
      </c>
    </row>
    <row r="1727" spans="1:8" hidden="1" x14ac:dyDescent="0.45">
      <c r="A1727">
        <v>1725</v>
      </c>
      <c r="B1727" t="s">
        <v>7</v>
      </c>
      <c r="C1727" s="3">
        <v>1120279.35351492</v>
      </c>
      <c r="D1727" s="3">
        <v>667164.73</v>
      </c>
      <c r="E1727" s="3">
        <v>674596.34105256305</v>
      </c>
      <c r="F1727" s="3">
        <v>1596251.3832195399</v>
      </c>
      <c r="G1727" s="1">
        <v>45291</v>
      </c>
      <c r="H1727" s="2">
        <v>44682</v>
      </c>
    </row>
    <row r="1728" spans="1:8" hidden="1" x14ac:dyDescent="0.45">
      <c r="A1728">
        <v>1726</v>
      </c>
      <c r="B1728" t="s">
        <v>7</v>
      </c>
      <c r="C1728" s="3">
        <v>1276454.4884283601</v>
      </c>
      <c r="D1728" s="3">
        <v>1398761.09</v>
      </c>
      <c r="E1728" s="3">
        <v>771362.31587712804</v>
      </c>
      <c r="F1728" s="3">
        <v>1814749.0996090099</v>
      </c>
      <c r="G1728" s="1">
        <v>45291</v>
      </c>
      <c r="H1728" s="2">
        <v>44713</v>
      </c>
    </row>
    <row r="1729" spans="1:8" hidden="1" x14ac:dyDescent="0.45">
      <c r="A1729">
        <v>1727</v>
      </c>
      <c r="B1729" t="s">
        <v>7</v>
      </c>
      <c r="C1729" s="3">
        <v>1399765.0623354199</v>
      </c>
      <c r="D1729" s="3">
        <v>931475.54</v>
      </c>
      <c r="E1729" s="3">
        <v>870422.14760990604</v>
      </c>
      <c r="F1729" s="3">
        <v>1965323.34652707</v>
      </c>
      <c r="G1729" s="1">
        <v>45291</v>
      </c>
      <c r="H1729" s="2">
        <v>44743</v>
      </c>
    </row>
    <row r="1730" spans="1:8" hidden="1" x14ac:dyDescent="0.45">
      <c r="A1730">
        <v>1728</v>
      </c>
      <c r="B1730" t="s">
        <v>7</v>
      </c>
      <c r="C1730" s="3">
        <v>1261541.4492749099</v>
      </c>
      <c r="D1730" s="3">
        <v>1335916.6499999999</v>
      </c>
      <c r="E1730" s="3">
        <v>796634.54866869398</v>
      </c>
      <c r="F1730" s="3">
        <v>1770235.4554008399</v>
      </c>
      <c r="G1730" s="1">
        <v>45291</v>
      </c>
      <c r="H1730" s="2">
        <v>44774</v>
      </c>
    </row>
    <row r="1731" spans="1:8" hidden="1" x14ac:dyDescent="0.45">
      <c r="A1731">
        <v>1729</v>
      </c>
      <c r="B1731" t="s">
        <v>7</v>
      </c>
      <c r="C1731" s="3">
        <v>1214016.828527</v>
      </c>
      <c r="D1731" s="3">
        <v>976647.27</v>
      </c>
      <c r="E1731" s="3">
        <v>749274.65693459997</v>
      </c>
      <c r="F1731" s="3">
        <v>1709007.5053535299</v>
      </c>
      <c r="G1731" s="1">
        <v>45291</v>
      </c>
      <c r="H1731" s="2">
        <v>44805</v>
      </c>
    </row>
    <row r="1732" spans="1:8" hidden="1" x14ac:dyDescent="0.45">
      <c r="A1732">
        <v>1730</v>
      </c>
      <c r="B1732" t="s">
        <v>7</v>
      </c>
      <c r="C1732" s="3">
        <v>1016362.52714265</v>
      </c>
      <c r="D1732" s="3">
        <v>975982.86</v>
      </c>
      <c r="E1732" s="3">
        <v>601009.90583838103</v>
      </c>
      <c r="F1732" s="3">
        <v>1451588.4827739701</v>
      </c>
      <c r="G1732" s="1">
        <v>45291</v>
      </c>
      <c r="H1732" s="2">
        <v>44835</v>
      </c>
    </row>
    <row r="1733" spans="1:8" hidden="1" x14ac:dyDescent="0.45">
      <c r="A1733">
        <v>1731</v>
      </c>
      <c r="B1733" t="s">
        <v>7</v>
      </c>
      <c r="C1733" s="3">
        <v>2182590.2537996001</v>
      </c>
      <c r="D1733" s="3">
        <v>2010415.16</v>
      </c>
      <c r="E1733" s="3">
        <v>1486660.9606832</v>
      </c>
      <c r="F1733" s="3">
        <v>2954433.7706841901</v>
      </c>
      <c r="G1733" s="1">
        <v>45291</v>
      </c>
      <c r="H1733" s="2">
        <v>44866</v>
      </c>
    </row>
    <row r="1734" spans="1:8" hidden="1" x14ac:dyDescent="0.45">
      <c r="A1734">
        <v>1732</v>
      </c>
      <c r="B1734" t="s">
        <v>7</v>
      </c>
      <c r="C1734" s="3">
        <v>747444.70832836104</v>
      </c>
      <c r="D1734" s="3">
        <v>348929.42</v>
      </c>
      <c r="E1734" s="3">
        <v>429984.41083098098</v>
      </c>
      <c r="F1734" s="3">
        <v>1094026.167775</v>
      </c>
      <c r="G1734" s="1">
        <v>45291</v>
      </c>
      <c r="H1734" s="2">
        <v>44896</v>
      </c>
    </row>
    <row r="1735" spans="1:8" hidden="1" x14ac:dyDescent="0.45">
      <c r="A1735">
        <v>1733</v>
      </c>
      <c r="B1735" t="s">
        <v>7</v>
      </c>
      <c r="C1735" s="3">
        <v>1216323.65785712</v>
      </c>
      <c r="D1735" s="3">
        <v>1096298.6399999999</v>
      </c>
      <c r="E1735" s="3">
        <v>721635.29157913197</v>
      </c>
      <c r="F1735" s="3">
        <v>1756834.66869818</v>
      </c>
      <c r="G1735" s="1">
        <v>45291</v>
      </c>
      <c r="H1735" s="2">
        <v>44927</v>
      </c>
    </row>
    <row r="1736" spans="1:8" hidden="1" x14ac:dyDescent="0.45">
      <c r="A1736">
        <v>1734</v>
      </c>
      <c r="B1736" t="s">
        <v>7</v>
      </c>
      <c r="C1736" s="3">
        <v>1027410.22030222</v>
      </c>
      <c r="D1736" s="3">
        <v>1036928.47</v>
      </c>
      <c r="E1736" s="3">
        <v>594521.46260220197</v>
      </c>
      <c r="F1736" s="3">
        <v>1494999.71741199</v>
      </c>
      <c r="G1736" s="1">
        <v>45291</v>
      </c>
      <c r="H1736" s="2">
        <v>44958</v>
      </c>
    </row>
    <row r="1737" spans="1:8" hidden="1" x14ac:dyDescent="0.45">
      <c r="A1737">
        <v>1735</v>
      </c>
      <c r="B1737" t="s">
        <v>7</v>
      </c>
      <c r="C1737" s="3">
        <v>1526261.76288013</v>
      </c>
      <c r="D1737" s="3">
        <v>660363.89</v>
      </c>
      <c r="E1737" s="3">
        <v>924427.45386223099</v>
      </c>
      <c r="F1737" s="3">
        <v>2182344.55519218</v>
      </c>
      <c r="G1737" s="1">
        <v>45291</v>
      </c>
      <c r="H1737" s="2">
        <v>44986</v>
      </c>
    </row>
    <row r="1738" spans="1:8" hidden="1" x14ac:dyDescent="0.45">
      <c r="A1738">
        <v>1736</v>
      </c>
      <c r="B1738" t="s">
        <v>7</v>
      </c>
      <c r="C1738" s="3">
        <v>772036.51078406896</v>
      </c>
      <c r="D1738" s="3">
        <v>1093282.48</v>
      </c>
      <c r="E1738" s="3">
        <v>426715.42407970101</v>
      </c>
      <c r="F1738" s="3">
        <v>1154021.4989861799</v>
      </c>
      <c r="G1738" s="1">
        <v>45291</v>
      </c>
      <c r="H1738" s="2">
        <v>45017</v>
      </c>
    </row>
    <row r="1739" spans="1:8" hidden="1" x14ac:dyDescent="0.45">
      <c r="A1739">
        <v>1737</v>
      </c>
      <c r="B1739" t="s">
        <v>7</v>
      </c>
      <c r="C1739" s="3">
        <v>1018149.08995717</v>
      </c>
      <c r="D1739" s="3">
        <v>1212297.6200000001</v>
      </c>
      <c r="E1739" s="3">
        <v>576879.01499801304</v>
      </c>
      <c r="F1739" s="3">
        <v>1492141.6968107</v>
      </c>
      <c r="G1739" s="1">
        <v>45291</v>
      </c>
      <c r="H1739" s="2">
        <v>45047</v>
      </c>
    </row>
    <row r="1740" spans="1:8" hidden="1" x14ac:dyDescent="0.45">
      <c r="A1740">
        <v>1738</v>
      </c>
      <c r="B1740" t="s">
        <v>7</v>
      </c>
      <c r="C1740" s="3">
        <v>1118829.95497216</v>
      </c>
      <c r="D1740" s="3">
        <v>1041503.83</v>
      </c>
      <c r="E1740" s="3">
        <v>640963.49773850397</v>
      </c>
      <c r="F1740" s="3">
        <v>1626336.2714742301</v>
      </c>
      <c r="G1740" s="1">
        <v>45291</v>
      </c>
      <c r="H1740" s="2">
        <v>45078</v>
      </c>
    </row>
    <row r="1741" spans="1:8" hidden="1" x14ac:dyDescent="0.45">
      <c r="A1741">
        <v>1739</v>
      </c>
      <c r="B1741" t="s">
        <v>7</v>
      </c>
      <c r="C1741" s="3">
        <v>1210879.4621829099</v>
      </c>
      <c r="D1741" s="3">
        <v>1103446</v>
      </c>
      <c r="E1741" s="3">
        <v>717198.56198004296</v>
      </c>
      <c r="F1741" s="3">
        <v>1742648.4565518999</v>
      </c>
      <c r="G1741" s="1">
        <v>45291</v>
      </c>
      <c r="H1741" s="2">
        <v>45108</v>
      </c>
    </row>
    <row r="1742" spans="1:8" hidden="1" x14ac:dyDescent="0.45">
      <c r="A1742">
        <v>1740</v>
      </c>
      <c r="B1742" t="s">
        <v>7</v>
      </c>
      <c r="C1742" s="3">
        <v>1169519.8351745401</v>
      </c>
      <c r="D1742" s="3">
        <v>1157502.68</v>
      </c>
      <c r="E1742" s="3">
        <v>694224.43368704699</v>
      </c>
      <c r="F1742" s="3">
        <v>1683002.0170827501</v>
      </c>
      <c r="G1742" s="1">
        <v>45291</v>
      </c>
      <c r="H1742" s="2">
        <v>45139</v>
      </c>
    </row>
    <row r="1743" spans="1:8" hidden="1" x14ac:dyDescent="0.45">
      <c r="A1743">
        <v>1741</v>
      </c>
      <c r="B1743" t="s">
        <v>7</v>
      </c>
      <c r="C1743" s="3">
        <v>1128374.8194148799</v>
      </c>
      <c r="D1743" s="3">
        <v>1330269.6499999999</v>
      </c>
      <c r="E1743" s="3">
        <v>663076.16488967405</v>
      </c>
      <c r="F1743" s="3">
        <v>1623693.8509837401</v>
      </c>
      <c r="G1743" s="1">
        <v>45291</v>
      </c>
      <c r="H1743" s="2">
        <v>45170</v>
      </c>
    </row>
    <row r="1744" spans="1:8" hidden="1" x14ac:dyDescent="0.45">
      <c r="A1744">
        <v>1742</v>
      </c>
      <c r="B1744" t="s">
        <v>7</v>
      </c>
      <c r="C1744" s="3">
        <v>997381.89643837896</v>
      </c>
      <c r="D1744" s="3">
        <v>1219536.81</v>
      </c>
      <c r="E1744" s="3">
        <v>576919.68060760899</v>
      </c>
      <c r="F1744" s="3">
        <v>1446278.4589597201</v>
      </c>
      <c r="G1744" s="1">
        <v>45291</v>
      </c>
      <c r="H1744" s="2">
        <v>45200</v>
      </c>
    </row>
    <row r="1745" spans="1:8" hidden="1" x14ac:dyDescent="0.45">
      <c r="A1745">
        <v>1743</v>
      </c>
      <c r="B1745" t="s">
        <v>7</v>
      </c>
      <c r="C1745" s="3">
        <v>2046216.7001085801</v>
      </c>
      <c r="D1745" s="3">
        <v>2038136.91</v>
      </c>
      <c r="E1745" s="3">
        <v>1290816.1118514501</v>
      </c>
      <c r="F1745" s="3">
        <v>2841293.5889600599</v>
      </c>
      <c r="G1745" s="1">
        <v>45291</v>
      </c>
      <c r="H1745" s="2">
        <v>45231</v>
      </c>
    </row>
    <row r="1746" spans="1:8" hidden="1" x14ac:dyDescent="0.45">
      <c r="A1746">
        <v>1744</v>
      </c>
      <c r="B1746" t="s">
        <v>7</v>
      </c>
      <c r="C1746" s="3">
        <v>782293.34431714995</v>
      </c>
      <c r="D1746" s="3">
        <v>950044.03</v>
      </c>
      <c r="E1746" s="3">
        <v>422960.39224546001</v>
      </c>
      <c r="F1746" s="3">
        <v>1172678.0854946601</v>
      </c>
      <c r="G1746" s="1">
        <v>45291</v>
      </c>
      <c r="H1746" s="2">
        <v>45261</v>
      </c>
    </row>
    <row r="1747" spans="1:8" hidden="1" x14ac:dyDescent="0.45">
      <c r="A1747">
        <v>1745</v>
      </c>
      <c r="B1747" t="s">
        <v>8</v>
      </c>
      <c r="C1747" s="3">
        <v>1214418.1544252001</v>
      </c>
      <c r="D1747" s="3">
        <v>1369342.09</v>
      </c>
      <c r="E1747" s="3">
        <v>672285.52830320201</v>
      </c>
      <c r="F1747" s="3">
        <v>1826742.06481427</v>
      </c>
      <c r="G1747" s="1">
        <v>45291</v>
      </c>
      <c r="H1747" s="2">
        <v>45292</v>
      </c>
    </row>
    <row r="1748" spans="1:8" hidden="1" x14ac:dyDescent="0.45">
      <c r="A1748">
        <v>1746</v>
      </c>
      <c r="B1748" t="s">
        <v>8</v>
      </c>
      <c r="C1748" s="3">
        <v>1031009.35308016</v>
      </c>
      <c r="D1748" s="3">
        <v>952232.12</v>
      </c>
      <c r="E1748" s="3">
        <v>556030.77934222703</v>
      </c>
      <c r="F1748" s="3">
        <v>1559452.57022545</v>
      </c>
      <c r="G1748" s="1">
        <v>45291</v>
      </c>
      <c r="H1748" s="2">
        <v>45323</v>
      </c>
    </row>
    <row r="1749" spans="1:8" hidden="1" x14ac:dyDescent="0.45">
      <c r="A1749">
        <v>1747</v>
      </c>
      <c r="B1749" t="s">
        <v>8</v>
      </c>
      <c r="C1749" s="3">
        <v>1414076.5014962601</v>
      </c>
      <c r="D1749" s="3">
        <v>955464.24</v>
      </c>
      <c r="E1749" s="3">
        <v>787033.288790936</v>
      </c>
      <c r="F1749" s="3">
        <v>2098020.8980826698</v>
      </c>
      <c r="G1749" s="1">
        <v>45291</v>
      </c>
      <c r="H1749" s="2">
        <v>45352</v>
      </c>
    </row>
    <row r="1750" spans="1:8" hidden="1" x14ac:dyDescent="0.45">
      <c r="A1750">
        <v>1748</v>
      </c>
      <c r="B1750" t="s">
        <v>8</v>
      </c>
      <c r="C1750" s="3">
        <v>761924.68902148004</v>
      </c>
      <c r="D1750" s="3">
        <v>1412724.04</v>
      </c>
      <c r="E1750" s="3">
        <v>398768.07349940698</v>
      </c>
      <c r="F1750" s="3">
        <v>1180806.9163333101</v>
      </c>
      <c r="G1750" s="1">
        <v>45291</v>
      </c>
      <c r="H1750" s="2">
        <v>45383</v>
      </c>
    </row>
    <row r="1751" spans="1:8" hidden="1" x14ac:dyDescent="0.45">
      <c r="A1751">
        <v>1749</v>
      </c>
      <c r="B1751" t="s">
        <v>8</v>
      </c>
      <c r="C1751" s="3">
        <v>982524.34448861296</v>
      </c>
      <c r="D1751" s="3">
        <v>805318.12999999896</v>
      </c>
      <c r="E1751" s="3">
        <v>523026.04372333299</v>
      </c>
      <c r="F1751" s="3">
        <v>1513939.8101890699</v>
      </c>
      <c r="G1751" s="1">
        <v>45291</v>
      </c>
      <c r="H1751" s="2">
        <v>45413</v>
      </c>
    </row>
    <row r="1752" spans="1:8" hidden="1" x14ac:dyDescent="0.45">
      <c r="A1752">
        <v>1750</v>
      </c>
      <c r="B1752" t="s">
        <v>8</v>
      </c>
      <c r="C1752" s="3">
        <v>1040394.6164989599</v>
      </c>
      <c r="D1752" s="3">
        <v>787305.429999999</v>
      </c>
      <c r="E1752" s="3">
        <v>545461.80441712402</v>
      </c>
      <c r="F1752" s="3">
        <v>1582738.58471529</v>
      </c>
      <c r="G1752" s="1">
        <v>45291</v>
      </c>
      <c r="H1752" s="2">
        <v>45444</v>
      </c>
    </row>
    <row r="1753" spans="1:8" hidden="1" x14ac:dyDescent="0.45">
      <c r="A1753">
        <v>1751</v>
      </c>
      <c r="B1753" t="s">
        <v>8</v>
      </c>
      <c r="C1753" s="3">
        <v>1113595.3896177299</v>
      </c>
      <c r="D1753" s="3">
        <v>885762.57</v>
      </c>
      <c r="E1753" s="3">
        <v>607346.57424370502</v>
      </c>
      <c r="F1753" s="3">
        <v>1676223.8843205001</v>
      </c>
      <c r="G1753" s="1">
        <v>45291</v>
      </c>
      <c r="H1753" s="2">
        <v>45474</v>
      </c>
    </row>
    <row r="1754" spans="1:8" hidden="1" x14ac:dyDescent="0.45">
      <c r="A1754">
        <v>1752</v>
      </c>
      <c r="B1754" t="s">
        <v>8</v>
      </c>
      <c r="C1754" s="3">
        <v>1079971.1417171599</v>
      </c>
      <c r="D1754" s="3">
        <v>867807.84</v>
      </c>
      <c r="E1754" s="3">
        <v>589492.22903737705</v>
      </c>
      <c r="F1754" s="3">
        <v>1620025.6314016599</v>
      </c>
      <c r="G1754" s="1">
        <v>45291</v>
      </c>
      <c r="H1754" s="2">
        <v>45505</v>
      </c>
    </row>
    <row r="1755" spans="1:8" hidden="1" x14ac:dyDescent="0.45">
      <c r="A1755">
        <v>1753</v>
      </c>
      <c r="B1755" t="s">
        <v>8</v>
      </c>
      <c r="C1755" s="3">
        <v>1019789.62901631</v>
      </c>
      <c r="D1755" s="3">
        <v>1495376.37</v>
      </c>
      <c r="E1755" s="3">
        <v>576270.28758998495</v>
      </c>
      <c r="F1755" s="3">
        <v>1518869.38960627</v>
      </c>
      <c r="G1755" s="1">
        <v>45291</v>
      </c>
      <c r="H1755" s="2">
        <v>45536</v>
      </c>
    </row>
    <row r="1756" spans="1:8" hidden="1" x14ac:dyDescent="0.45">
      <c r="A1756">
        <v>1754</v>
      </c>
      <c r="B1756" t="s">
        <v>8</v>
      </c>
      <c r="C1756" s="3">
        <v>898981.87809170096</v>
      </c>
      <c r="D1756" s="3">
        <v>571772.07999999903</v>
      </c>
      <c r="E1756" s="3">
        <v>497898.02850135602</v>
      </c>
      <c r="F1756" s="3">
        <v>1327575.8515674199</v>
      </c>
      <c r="G1756" s="1">
        <v>45291</v>
      </c>
      <c r="H1756" s="2">
        <v>45566</v>
      </c>
    </row>
    <row r="1757" spans="1:8" hidden="1" x14ac:dyDescent="0.45">
      <c r="A1757">
        <v>1755</v>
      </c>
      <c r="B1757" t="s">
        <v>8</v>
      </c>
      <c r="C1757" s="3">
        <v>1782191.6380406399</v>
      </c>
      <c r="D1757" s="3"/>
      <c r="E1757" s="3">
        <v>1081951.46767564</v>
      </c>
      <c r="F1757" s="3">
        <v>2520508.5299516702</v>
      </c>
      <c r="G1757" s="1">
        <v>45291</v>
      </c>
      <c r="H1757" s="2">
        <v>45597</v>
      </c>
    </row>
    <row r="1758" spans="1:8" hidden="1" x14ac:dyDescent="0.45">
      <c r="A1758">
        <v>1756</v>
      </c>
      <c r="B1758" t="s">
        <v>8</v>
      </c>
      <c r="C1758" s="3">
        <v>660429.37292177696</v>
      </c>
      <c r="D1758" s="3"/>
      <c r="E1758" s="3">
        <v>344043.48724130401</v>
      </c>
      <c r="F1758" s="3">
        <v>1001107.32299157</v>
      </c>
      <c r="G1758" s="1">
        <v>45291</v>
      </c>
      <c r="H1758" s="2">
        <v>45627</v>
      </c>
    </row>
    <row r="1759" spans="1:8" hidden="1" x14ac:dyDescent="0.45">
      <c r="A1759">
        <v>1757</v>
      </c>
      <c r="B1759" t="s">
        <v>8</v>
      </c>
      <c r="C1759" s="3">
        <v>1055957.1694444199</v>
      </c>
      <c r="D1759" s="3"/>
      <c r="E1759" s="3">
        <v>565833.62309028499</v>
      </c>
      <c r="F1759" s="3">
        <v>1619352.10209664</v>
      </c>
      <c r="G1759" s="1">
        <v>45291</v>
      </c>
      <c r="H1759" s="2">
        <v>45658</v>
      </c>
    </row>
    <row r="1760" spans="1:8" hidden="1" x14ac:dyDescent="0.45">
      <c r="A1760">
        <v>1758</v>
      </c>
      <c r="B1760" t="s">
        <v>8</v>
      </c>
      <c r="C1760" s="3">
        <v>929295.94042506698</v>
      </c>
      <c r="D1760" s="3"/>
      <c r="E1760" s="3">
        <v>487134.97717008198</v>
      </c>
      <c r="F1760" s="3">
        <v>1416608.1039682699</v>
      </c>
      <c r="G1760" s="1">
        <v>45291</v>
      </c>
      <c r="H1760" s="2">
        <v>45689</v>
      </c>
    </row>
    <row r="1761" spans="1:8" hidden="1" x14ac:dyDescent="0.45">
      <c r="A1761">
        <v>1759</v>
      </c>
      <c r="B1761" t="s">
        <v>8</v>
      </c>
      <c r="C1761" s="3">
        <v>1259878.3432690899</v>
      </c>
      <c r="D1761" s="3"/>
      <c r="E1761" s="3">
        <v>692954.32713361701</v>
      </c>
      <c r="F1761" s="3">
        <v>1875995.5326216</v>
      </c>
      <c r="G1761" s="1">
        <v>45291</v>
      </c>
      <c r="H1761" s="2">
        <v>45717</v>
      </c>
    </row>
    <row r="1762" spans="1:8" hidden="1" x14ac:dyDescent="0.45">
      <c r="A1762">
        <v>1760</v>
      </c>
      <c r="B1762" t="s">
        <v>8</v>
      </c>
      <c r="C1762" s="3">
        <v>709722.97444154695</v>
      </c>
      <c r="D1762" s="3"/>
      <c r="E1762" s="3">
        <v>368044.45687036403</v>
      </c>
      <c r="F1762" s="3">
        <v>1103825.27653782</v>
      </c>
      <c r="G1762" s="1">
        <v>45291</v>
      </c>
      <c r="H1762" s="2">
        <v>45748</v>
      </c>
    </row>
    <row r="1763" spans="1:8" hidden="1" x14ac:dyDescent="0.45">
      <c r="A1763">
        <v>1761</v>
      </c>
      <c r="B1763" t="s">
        <v>8</v>
      </c>
      <c r="C1763" s="3">
        <v>920899.341760237</v>
      </c>
      <c r="D1763" s="3"/>
      <c r="E1763" s="3">
        <v>478744.98990900099</v>
      </c>
      <c r="F1763" s="3">
        <v>1422186.6407212799</v>
      </c>
      <c r="G1763" s="1">
        <v>45291</v>
      </c>
      <c r="H1763" s="2">
        <v>45778</v>
      </c>
    </row>
    <row r="1764" spans="1:8" hidden="1" x14ac:dyDescent="0.45">
      <c r="A1764">
        <v>1762</v>
      </c>
      <c r="B1764" t="s">
        <v>8</v>
      </c>
      <c r="C1764" s="3">
        <v>984326.44772340194</v>
      </c>
      <c r="D1764" s="3"/>
      <c r="E1764" s="3">
        <v>514596.15624605998</v>
      </c>
      <c r="F1764" s="3">
        <v>1509735.84007004</v>
      </c>
      <c r="G1764" s="1">
        <v>45291</v>
      </c>
      <c r="H1764" s="2">
        <v>45809</v>
      </c>
    </row>
    <row r="1765" spans="1:8" hidden="1" x14ac:dyDescent="0.45">
      <c r="A1765">
        <v>1763</v>
      </c>
      <c r="B1765" t="s">
        <v>8</v>
      </c>
      <c r="C1765" s="3">
        <v>1057637.8219816701</v>
      </c>
      <c r="D1765" s="3"/>
      <c r="E1765" s="3">
        <v>577565.92498849204</v>
      </c>
      <c r="F1765" s="3">
        <v>1594913.37406671</v>
      </c>
      <c r="G1765" s="1">
        <v>45291</v>
      </c>
      <c r="H1765" s="2">
        <v>45839</v>
      </c>
    </row>
    <row r="1766" spans="1:8" hidden="1" x14ac:dyDescent="0.45">
      <c r="A1766">
        <v>1764</v>
      </c>
      <c r="B1766" t="s">
        <v>8</v>
      </c>
      <c r="C1766" s="3">
        <v>1034800.87000172</v>
      </c>
      <c r="D1766" s="3"/>
      <c r="E1766" s="3">
        <v>565294.58518145699</v>
      </c>
      <c r="F1766" s="3">
        <v>1565552.32281496</v>
      </c>
      <c r="G1766" s="1">
        <v>45291</v>
      </c>
      <c r="H1766" s="2">
        <v>45870</v>
      </c>
    </row>
    <row r="1767" spans="1:8" hidden="1" x14ac:dyDescent="0.45">
      <c r="A1767">
        <v>1765</v>
      </c>
      <c r="B1767" t="s">
        <v>8</v>
      </c>
      <c r="C1767" s="3">
        <v>982534.13753236597</v>
      </c>
      <c r="D1767" s="3"/>
      <c r="E1767" s="3">
        <v>551537.16497425898</v>
      </c>
      <c r="F1767" s="3">
        <v>1465555.3820740101</v>
      </c>
      <c r="G1767" s="1">
        <v>45291</v>
      </c>
      <c r="H1767" s="2">
        <v>45901</v>
      </c>
    </row>
    <row r="1768" spans="1:8" hidden="1" x14ac:dyDescent="0.45">
      <c r="A1768">
        <v>1766</v>
      </c>
      <c r="B1768" t="s">
        <v>8</v>
      </c>
      <c r="C1768" s="3">
        <v>873236.46906303696</v>
      </c>
      <c r="D1768" s="3"/>
      <c r="E1768" s="3">
        <v>483101.00098612299</v>
      </c>
      <c r="F1768" s="3">
        <v>1287858.26749799</v>
      </c>
      <c r="G1768" s="1">
        <v>45291</v>
      </c>
      <c r="H1768" s="2">
        <v>45931</v>
      </c>
    </row>
    <row r="1769" spans="1:8" hidden="1" x14ac:dyDescent="0.45">
      <c r="A1769">
        <v>1767</v>
      </c>
      <c r="B1769" t="s">
        <v>7</v>
      </c>
      <c r="C1769" s="3">
        <v>130700.268737516</v>
      </c>
      <c r="D1769" s="3">
        <v>28250.62</v>
      </c>
      <c r="E1769" s="3">
        <v>81972.583835531404</v>
      </c>
      <c r="F1769" s="3">
        <v>182811.383788078</v>
      </c>
      <c r="G1769" s="1">
        <v>45322</v>
      </c>
      <c r="H1769" s="2">
        <v>44228</v>
      </c>
    </row>
    <row r="1770" spans="1:8" hidden="1" x14ac:dyDescent="0.45">
      <c r="A1770">
        <v>1768</v>
      </c>
      <c r="B1770" t="s">
        <v>7</v>
      </c>
      <c r="C1770" s="3">
        <v>268588.55174502201</v>
      </c>
      <c r="D1770" s="3">
        <v>36247.919999999998</v>
      </c>
      <c r="E1770" s="3">
        <v>185716.00261779499</v>
      </c>
      <c r="F1770" s="3">
        <v>357634.62124864198</v>
      </c>
      <c r="G1770" s="1">
        <v>45322</v>
      </c>
      <c r="H1770" s="2">
        <v>44256</v>
      </c>
    </row>
    <row r="1771" spans="1:8" hidden="1" x14ac:dyDescent="0.45">
      <c r="A1771">
        <v>1769</v>
      </c>
      <c r="B1771" t="s">
        <v>7</v>
      </c>
      <c r="C1771" s="3">
        <v>139246.24210923901</v>
      </c>
      <c r="D1771" s="3">
        <v>14721.48</v>
      </c>
      <c r="E1771" s="3">
        <v>77239.184744670594</v>
      </c>
      <c r="F1771" s="3">
        <v>206185.47244695399</v>
      </c>
      <c r="G1771" s="1">
        <v>45322</v>
      </c>
      <c r="H1771" s="2">
        <v>44287</v>
      </c>
    </row>
    <row r="1772" spans="1:8" hidden="1" x14ac:dyDescent="0.45">
      <c r="A1772">
        <v>1770</v>
      </c>
      <c r="B1772" t="s">
        <v>7</v>
      </c>
      <c r="C1772" s="3">
        <v>205505.67613422999</v>
      </c>
      <c r="D1772" s="3">
        <v>94346.71</v>
      </c>
      <c r="E1772" s="3">
        <v>124271.94695176699</v>
      </c>
      <c r="F1772" s="3">
        <v>292742.31854304898</v>
      </c>
      <c r="G1772" s="1">
        <v>45322</v>
      </c>
      <c r="H1772" s="2">
        <v>44317</v>
      </c>
    </row>
    <row r="1773" spans="1:8" hidden="1" x14ac:dyDescent="0.45">
      <c r="A1773">
        <v>1771</v>
      </c>
      <c r="B1773" t="s">
        <v>7</v>
      </c>
      <c r="C1773" s="3">
        <v>400608.10899010202</v>
      </c>
      <c r="D1773" s="3">
        <v>970740.72</v>
      </c>
      <c r="E1773" s="3">
        <v>263425.90332462301</v>
      </c>
      <c r="F1773" s="3">
        <v>536913.06956505298</v>
      </c>
      <c r="G1773" s="1">
        <v>45322</v>
      </c>
      <c r="H1773" s="2">
        <v>44348</v>
      </c>
    </row>
    <row r="1774" spans="1:8" hidden="1" x14ac:dyDescent="0.45">
      <c r="A1774">
        <v>1772</v>
      </c>
      <c r="B1774" t="s">
        <v>7</v>
      </c>
      <c r="C1774" s="3">
        <v>923739.27229029499</v>
      </c>
      <c r="D1774" s="3">
        <v>1798271.24</v>
      </c>
      <c r="E1774" s="3">
        <v>646057.05934661406</v>
      </c>
      <c r="F1774" s="3">
        <v>1206093.56279825</v>
      </c>
      <c r="G1774" s="1">
        <v>45322</v>
      </c>
      <c r="H1774" s="2">
        <v>44378</v>
      </c>
    </row>
    <row r="1775" spans="1:8" hidden="1" x14ac:dyDescent="0.45">
      <c r="A1775">
        <v>1773</v>
      </c>
      <c r="B1775" t="s">
        <v>7</v>
      </c>
      <c r="C1775" s="3">
        <v>984587.43117598805</v>
      </c>
      <c r="D1775" s="3">
        <v>700449.31</v>
      </c>
      <c r="E1775" s="3">
        <v>674879.79316054506</v>
      </c>
      <c r="F1775" s="3">
        <v>1308251.8760989001</v>
      </c>
      <c r="G1775" s="1">
        <v>45322</v>
      </c>
      <c r="H1775" s="2">
        <v>44409</v>
      </c>
    </row>
    <row r="1776" spans="1:8" hidden="1" x14ac:dyDescent="0.45">
      <c r="A1776">
        <v>1774</v>
      </c>
      <c r="B1776" t="s">
        <v>7</v>
      </c>
      <c r="C1776" s="3">
        <v>1039568.04377211</v>
      </c>
      <c r="D1776" s="3">
        <v>1784906.52</v>
      </c>
      <c r="E1776" s="3">
        <v>718214.92262363201</v>
      </c>
      <c r="F1776" s="3">
        <v>1377238.5382255299</v>
      </c>
      <c r="G1776" s="1">
        <v>45322</v>
      </c>
      <c r="H1776" s="2">
        <v>44440</v>
      </c>
    </row>
    <row r="1777" spans="1:8" hidden="1" x14ac:dyDescent="0.45">
      <c r="A1777">
        <v>1775</v>
      </c>
      <c r="B1777" t="s">
        <v>7</v>
      </c>
      <c r="C1777" s="3">
        <v>924756.12216936902</v>
      </c>
      <c r="D1777" s="3">
        <v>706422.77</v>
      </c>
      <c r="E1777" s="3">
        <v>612189.18586371501</v>
      </c>
      <c r="F1777" s="3">
        <v>1257129.61163047</v>
      </c>
      <c r="G1777" s="1">
        <v>45322</v>
      </c>
      <c r="H1777" s="2">
        <v>44470</v>
      </c>
    </row>
    <row r="1778" spans="1:8" hidden="1" x14ac:dyDescent="0.45">
      <c r="A1778">
        <v>1776</v>
      </c>
      <c r="B1778" t="s">
        <v>7</v>
      </c>
      <c r="C1778" s="3">
        <v>1959769.77963671</v>
      </c>
      <c r="D1778" s="3">
        <v>3115611.92</v>
      </c>
      <c r="E1778" s="3">
        <v>1437819.55607029</v>
      </c>
      <c r="F1778" s="3">
        <v>2489860.5566656101</v>
      </c>
      <c r="G1778" s="1">
        <v>45322</v>
      </c>
      <c r="H1778" s="2">
        <v>44501</v>
      </c>
    </row>
    <row r="1779" spans="1:8" hidden="1" x14ac:dyDescent="0.45">
      <c r="A1779">
        <v>1777</v>
      </c>
      <c r="B1779" t="s">
        <v>7</v>
      </c>
      <c r="C1779" s="3">
        <v>776487.81983308401</v>
      </c>
      <c r="D1779" s="3">
        <v>227049.91</v>
      </c>
      <c r="E1779" s="3">
        <v>456433.94636796397</v>
      </c>
      <c r="F1779" s="3">
        <v>1105168.7984103099</v>
      </c>
      <c r="G1779" s="1">
        <v>45322</v>
      </c>
      <c r="H1779" s="2">
        <v>44531</v>
      </c>
    </row>
    <row r="1780" spans="1:8" hidden="1" x14ac:dyDescent="0.45">
      <c r="A1780">
        <v>1778</v>
      </c>
      <c r="B1780" t="s">
        <v>7</v>
      </c>
      <c r="C1780" s="3">
        <v>1226998.8028263501</v>
      </c>
      <c r="D1780" s="3">
        <v>1231496.1499999999</v>
      </c>
      <c r="E1780" s="3">
        <v>795450.47330528998</v>
      </c>
      <c r="F1780" s="3">
        <v>1677952.2863298301</v>
      </c>
      <c r="G1780" s="1">
        <v>45322</v>
      </c>
      <c r="H1780" s="2">
        <v>44562</v>
      </c>
    </row>
    <row r="1781" spans="1:8" hidden="1" x14ac:dyDescent="0.45">
      <c r="A1781">
        <v>1779</v>
      </c>
      <c r="B1781" t="s">
        <v>7</v>
      </c>
      <c r="C1781" s="3">
        <v>1071033.8872267299</v>
      </c>
      <c r="D1781" s="3">
        <v>1031231.86</v>
      </c>
      <c r="E1781" s="3">
        <v>690219.073832436</v>
      </c>
      <c r="F1781" s="3">
        <v>1497012.2875437201</v>
      </c>
      <c r="G1781" s="1">
        <v>45322</v>
      </c>
      <c r="H1781" s="2">
        <v>44593</v>
      </c>
    </row>
    <row r="1782" spans="1:8" hidden="1" x14ac:dyDescent="0.45">
      <c r="A1782">
        <v>1780</v>
      </c>
      <c r="B1782" t="s">
        <v>7</v>
      </c>
      <c r="C1782" s="3">
        <v>1756593.3961449901</v>
      </c>
      <c r="D1782" s="3">
        <v>2866780.02</v>
      </c>
      <c r="E1782" s="3">
        <v>1175509.4383601099</v>
      </c>
      <c r="F1782" s="3">
        <v>2359196.1844998598</v>
      </c>
      <c r="G1782" s="1">
        <v>45322</v>
      </c>
      <c r="H1782" s="2">
        <v>44621</v>
      </c>
    </row>
    <row r="1783" spans="1:8" hidden="1" x14ac:dyDescent="0.45">
      <c r="A1783">
        <v>1781</v>
      </c>
      <c r="B1783" t="s">
        <v>7</v>
      </c>
      <c r="C1783" s="3">
        <v>864850.81800209195</v>
      </c>
      <c r="D1783" s="3">
        <v>106305.83</v>
      </c>
      <c r="E1783" s="3">
        <v>506097.42880473001</v>
      </c>
      <c r="F1783" s="3">
        <v>1278202.69527914</v>
      </c>
      <c r="G1783" s="1">
        <v>45322</v>
      </c>
      <c r="H1783" s="2">
        <v>44652</v>
      </c>
    </row>
    <row r="1784" spans="1:8" hidden="1" x14ac:dyDescent="0.45">
      <c r="A1784">
        <v>1782</v>
      </c>
      <c r="B1784" t="s">
        <v>7</v>
      </c>
      <c r="C1784" s="3">
        <v>1145098.74749913</v>
      </c>
      <c r="D1784" s="3">
        <v>667164.73</v>
      </c>
      <c r="E1784" s="3">
        <v>717774.22337643895</v>
      </c>
      <c r="F1784" s="3">
        <v>1605469.8649605899</v>
      </c>
      <c r="G1784" s="1">
        <v>45322</v>
      </c>
      <c r="H1784" s="2">
        <v>44682</v>
      </c>
    </row>
    <row r="1785" spans="1:8" hidden="1" x14ac:dyDescent="0.45">
      <c r="A1785">
        <v>1783</v>
      </c>
      <c r="B1785" t="s">
        <v>7</v>
      </c>
      <c r="C1785" s="3">
        <v>1282823.06813374</v>
      </c>
      <c r="D1785" s="3">
        <v>1398761.09</v>
      </c>
      <c r="E1785" s="3">
        <v>809660.38057511696</v>
      </c>
      <c r="F1785" s="3">
        <v>1803427.42199279</v>
      </c>
      <c r="G1785" s="1">
        <v>45322</v>
      </c>
      <c r="H1785" s="2">
        <v>44713</v>
      </c>
    </row>
    <row r="1786" spans="1:8" hidden="1" x14ac:dyDescent="0.45">
      <c r="A1786">
        <v>1784</v>
      </c>
      <c r="B1786" t="s">
        <v>7</v>
      </c>
      <c r="C1786" s="3">
        <v>1419581.5802259799</v>
      </c>
      <c r="D1786" s="3">
        <v>931475.54</v>
      </c>
      <c r="E1786" s="3">
        <v>912451.84196830797</v>
      </c>
      <c r="F1786" s="3">
        <v>1947861.6208230101</v>
      </c>
      <c r="G1786" s="1">
        <v>45322</v>
      </c>
      <c r="H1786" s="2">
        <v>44743</v>
      </c>
    </row>
    <row r="1787" spans="1:8" hidden="1" x14ac:dyDescent="0.45">
      <c r="A1787">
        <v>1785</v>
      </c>
      <c r="B1787" t="s">
        <v>7</v>
      </c>
      <c r="C1787" s="3">
        <v>1265370.4461465301</v>
      </c>
      <c r="D1787" s="3">
        <v>1335916.6499999999</v>
      </c>
      <c r="E1787" s="3">
        <v>805338.40804241097</v>
      </c>
      <c r="F1787" s="3">
        <v>1746357.1839862501</v>
      </c>
      <c r="G1787" s="1">
        <v>45322</v>
      </c>
      <c r="H1787" s="2">
        <v>44774</v>
      </c>
    </row>
    <row r="1788" spans="1:8" hidden="1" x14ac:dyDescent="0.45">
      <c r="A1788">
        <v>1786</v>
      </c>
      <c r="B1788" t="s">
        <v>7</v>
      </c>
      <c r="C1788" s="3">
        <v>1231788.6243189699</v>
      </c>
      <c r="D1788" s="3">
        <v>976647.27</v>
      </c>
      <c r="E1788" s="3">
        <v>793982.49982250098</v>
      </c>
      <c r="F1788" s="3">
        <v>1706301.4916401601</v>
      </c>
      <c r="G1788" s="1">
        <v>45322</v>
      </c>
      <c r="H1788" s="2">
        <v>44805</v>
      </c>
    </row>
    <row r="1789" spans="1:8" hidden="1" x14ac:dyDescent="0.45">
      <c r="A1789">
        <v>1787</v>
      </c>
      <c r="B1789" t="s">
        <v>7</v>
      </c>
      <c r="C1789" s="3">
        <v>1044351.4028198801</v>
      </c>
      <c r="D1789" s="3">
        <v>975982.86</v>
      </c>
      <c r="E1789" s="3">
        <v>652950.24189955206</v>
      </c>
      <c r="F1789" s="3">
        <v>1458171.1206757899</v>
      </c>
      <c r="G1789" s="1">
        <v>45322</v>
      </c>
      <c r="H1789" s="2">
        <v>44835</v>
      </c>
    </row>
    <row r="1790" spans="1:8" hidden="1" x14ac:dyDescent="0.45">
      <c r="A1790">
        <v>1788</v>
      </c>
      <c r="B1790" t="s">
        <v>7</v>
      </c>
      <c r="C1790" s="3">
        <v>2207000.02455382</v>
      </c>
      <c r="D1790" s="3">
        <v>2010415.16</v>
      </c>
      <c r="E1790" s="3">
        <v>1506697.4306904899</v>
      </c>
      <c r="F1790" s="3">
        <v>2954616.32221943</v>
      </c>
      <c r="G1790" s="1">
        <v>45322</v>
      </c>
      <c r="H1790" s="2">
        <v>44866</v>
      </c>
    </row>
    <row r="1791" spans="1:8" hidden="1" x14ac:dyDescent="0.45">
      <c r="A1791">
        <v>1789</v>
      </c>
      <c r="B1791" t="s">
        <v>7</v>
      </c>
      <c r="C1791" s="3">
        <v>754687.27776161802</v>
      </c>
      <c r="D1791" s="3">
        <v>348929.42</v>
      </c>
      <c r="E1791" s="3">
        <v>440803.88134138798</v>
      </c>
      <c r="F1791" s="3">
        <v>1090190.0191369699</v>
      </c>
      <c r="G1791" s="1">
        <v>45322</v>
      </c>
      <c r="H1791" s="2">
        <v>44896</v>
      </c>
    </row>
    <row r="1792" spans="1:8" hidden="1" x14ac:dyDescent="0.45">
      <c r="A1792">
        <v>1790</v>
      </c>
      <c r="B1792" t="s">
        <v>7</v>
      </c>
      <c r="C1792" s="3">
        <v>1167733.2968763199</v>
      </c>
      <c r="D1792" s="3">
        <v>1096298.6399999999</v>
      </c>
      <c r="E1792" s="3">
        <v>728240.149194272</v>
      </c>
      <c r="F1792" s="3">
        <v>1638936.4086591499</v>
      </c>
      <c r="G1792" s="1">
        <v>45322</v>
      </c>
      <c r="H1792" s="2">
        <v>44927</v>
      </c>
    </row>
    <row r="1793" spans="1:8" hidden="1" x14ac:dyDescent="0.45">
      <c r="A1793">
        <v>1791</v>
      </c>
      <c r="B1793" t="s">
        <v>7</v>
      </c>
      <c r="C1793" s="3">
        <v>1023492.27362339</v>
      </c>
      <c r="D1793" s="3">
        <v>1036928.47</v>
      </c>
      <c r="E1793" s="3">
        <v>617366.40687182802</v>
      </c>
      <c r="F1793" s="3">
        <v>1469531.6405784599</v>
      </c>
      <c r="G1793" s="1">
        <v>45322</v>
      </c>
      <c r="H1793" s="2">
        <v>44958</v>
      </c>
    </row>
    <row r="1794" spans="1:8" hidden="1" x14ac:dyDescent="0.45">
      <c r="A1794">
        <v>1792</v>
      </c>
      <c r="B1794" t="s">
        <v>7</v>
      </c>
      <c r="C1794" s="3">
        <v>1533001.1520829999</v>
      </c>
      <c r="D1794" s="3">
        <v>660363.89</v>
      </c>
      <c r="E1794" s="3">
        <v>963317.74639649806</v>
      </c>
      <c r="F1794" s="3">
        <v>2134402.6883522202</v>
      </c>
      <c r="G1794" s="1">
        <v>45322</v>
      </c>
      <c r="H1794" s="2">
        <v>44986</v>
      </c>
    </row>
    <row r="1795" spans="1:8" hidden="1" x14ac:dyDescent="0.45">
      <c r="A1795">
        <v>1793</v>
      </c>
      <c r="B1795" t="s">
        <v>7</v>
      </c>
      <c r="C1795" s="3">
        <v>775435.20629579399</v>
      </c>
      <c r="D1795" s="3">
        <v>1093282.48</v>
      </c>
      <c r="E1795" s="3">
        <v>438055.105240801</v>
      </c>
      <c r="F1795" s="3">
        <v>1159772.76364755</v>
      </c>
      <c r="G1795" s="1">
        <v>45322</v>
      </c>
      <c r="H1795" s="2">
        <v>45017</v>
      </c>
    </row>
    <row r="1796" spans="1:8" hidden="1" x14ac:dyDescent="0.45">
      <c r="A1796">
        <v>1794</v>
      </c>
      <c r="B1796" t="s">
        <v>7</v>
      </c>
      <c r="C1796" s="3">
        <v>1044740.72656636</v>
      </c>
      <c r="D1796" s="3">
        <v>1212297.6200000001</v>
      </c>
      <c r="E1796" s="3">
        <v>637416.50609447598</v>
      </c>
      <c r="F1796" s="3">
        <v>1497850.7981026701</v>
      </c>
      <c r="G1796" s="1">
        <v>45322</v>
      </c>
      <c r="H1796" s="2">
        <v>45047</v>
      </c>
    </row>
    <row r="1797" spans="1:8" hidden="1" x14ac:dyDescent="0.45">
      <c r="A1797">
        <v>1795</v>
      </c>
      <c r="B1797" t="s">
        <v>7</v>
      </c>
      <c r="C1797" s="3">
        <v>1143314.1575247201</v>
      </c>
      <c r="D1797" s="3">
        <v>1041503.83</v>
      </c>
      <c r="E1797" s="3">
        <v>693030.42086997</v>
      </c>
      <c r="F1797" s="3">
        <v>1636040.74245137</v>
      </c>
      <c r="G1797" s="1">
        <v>45322</v>
      </c>
      <c r="H1797" s="2">
        <v>45078</v>
      </c>
    </row>
    <row r="1798" spans="1:8" hidden="1" x14ac:dyDescent="0.45">
      <c r="A1798">
        <v>1796</v>
      </c>
      <c r="B1798" t="s">
        <v>7</v>
      </c>
      <c r="C1798" s="3">
        <v>1271517.5038324101</v>
      </c>
      <c r="D1798" s="3">
        <v>1103446</v>
      </c>
      <c r="E1798" s="3">
        <v>785398.221005289</v>
      </c>
      <c r="F1798" s="3">
        <v>1793323.5651523799</v>
      </c>
      <c r="G1798" s="1">
        <v>45322</v>
      </c>
      <c r="H1798" s="2">
        <v>45108</v>
      </c>
    </row>
    <row r="1799" spans="1:8" hidden="1" x14ac:dyDescent="0.45">
      <c r="A1799">
        <v>1797</v>
      </c>
      <c r="B1799" t="s">
        <v>7</v>
      </c>
      <c r="C1799" s="3">
        <v>1196255.7420626599</v>
      </c>
      <c r="D1799" s="3">
        <v>1157502.68</v>
      </c>
      <c r="E1799" s="3">
        <v>733118.86012831505</v>
      </c>
      <c r="F1799" s="3">
        <v>1692462.46290221</v>
      </c>
      <c r="G1799" s="1">
        <v>45322</v>
      </c>
      <c r="H1799" s="2">
        <v>45139</v>
      </c>
    </row>
    <row r="1800" spans="1:8" hidden="1" x14ac:dyDescent="0.45">
      <c r="A1800">
        <v>1798</v>
      </c>
      <c r="B1800" t="s">
        <v>7</v>
      </c>
      <c r="C1800" s="3">
        <v>1185556.1428991</v>
      </c>
      <c r="D1800" s="3">
        <v>1330269.6499999999</v>
      </c>
      <c r="E1800" s="3">
        <v>733071.70767828403</v>
      </c>
      <c r="F1800" s="3">
        <v>1668105.92051076</v>
      </c>
      <c r="G1800" s="1">
        <v>45322</v>
      </c>
      <c r="H1800" s="2">
        <v>45170</v>
      </c>
    </row>
    <row r="1801" spans="1:8" hidden="1" x14ac:dyDescent="0.45">
      <c r="A1801">
        <v>1799</v>
      </c>
      <c r="B1801" t="s">
        <v>7</v>
      </c>
      <c r="C1801" s="3">
        <v>1035663.62990689</v>
      </c>
      <c r="D1801" s="3">
        <v>1219536.81</v>
      </c>
      <c r="E1801" s="3">
        <v>616575.45384279604</v>
      </c>
      <c r="F1801" s="3">
        <v>1493149.0434745201</v>
      </c>
      <c r="G1801" s="1">
        <v>45322</v>
      </c>
      <c r="H1801" s="2">
        <v>45200</v>
      </c>
    </row>
    <row r="1802" spans="1:8" hidden="1" x14ac:dyDescent="0.45">
      <c r="A1802">
        <v>1800</v>
      </c>
      <c r="B1802" t="s">
        <v>7</v>
      </c>
      <c r="C1802" s="3">
        <v>2133034.3558568498</v>
      </c>
      <c r="D1802" s="3">
        <v>2038136.91</v>
      </c>
      <c r="E1802" s="3">
        <v>1361025.71439467</v>
      </c>
      <c r="F1802" s="3">
        <v>2924766.8669159799</v>
      </c>
      <c r="G1802" s="1">
        <v>45322</v>
      </c>
      <c r="H1802" s="2">
        <v>45231</v>
      </c>
    </row>
    <row r="1803" spans="1:8" hidden="1" x14ac:dyDescent="0.45">
      <c r="A1803">
        <v>1801</v>
      </c>
      <c r="B1803" t="s">
        <v>7</v>
      </c>
      <c r="C1803" s="3">
        <v>797939.54950939596</v>
      </c>
      <c r="D1803" s="3">
        <v>950044.03</v>
      </c>
      <c r="E1803" s="3">
        <v>450155.06252597901</v>
      </c>
      <c r="F1803" s="3">
        <v>1186348.9328153401</v>
      </c>
      <c r="G1803" s="1">
        <v>45322</v>
      </c>
      <c r="H1803" s="2">
        <v>45261</v>
      </c>
    </row>
    <row r="1804" spans="1:8" hidden="1" x14ac:dyDescent="0.45">
      <c r="A1804">
        <v>1802</v>
      </c>
      <c r="B1804" t="s">
        <v>7</v>
      </c>
      <c r="C1804" s="3">
        <v>1231510.8056481599</v>
      </c>
      <c r="D1804" s="3">
        <v>1410224.61</v>
      </c>
      <c r="E1804" s="3">
        <v>743331.73093317996</v>
      </c>
      <c r="F1804" s="3">
        <v>1758065.4818529901</v>
      </c>
      <c r="G1804" s="1">
        <v>45322</v>
      </c>
      <c r="H1804" s="2">
        <v>45292</v>
      </c>
    </row>
    <row r="1805" spans="1:8" hidden="1" x14ac:dyDescent="0.45">
      <c r="A1805">
        <v>1803</v>
      </c>
      <c r="B1805" t="s">
        <v>8</v>
      </c>
      <c r="C1805" s="3">
        <v>1073629.06802008</v>
      </c>
      <c r="D1805" s="3">
        <v>984436.03</v>
      </c>
      <c r="E1805" s="3">
        <v>603361.71665181604</v>
      </c>
      <c r="F1805" s="3">
        <v>1586091.6465574801</v>
      </c>
      <c r="G1805" s="1">
        <v>45322</v>
      </c>
      <c r="H1805" s="2">
        <v>45323</v>
      </c>
    </row>
    <row r="1806" spans="1:8" hidden="1" x14ac:dyDescent="0.45">
      <c r="A1806">
        <v>1804</v>
      </c>
      <c r="B1806" t="s">
        <v>8</v>
      </c>
      <c r="C1806" s="3">
        <v>1517645.44885058</v>
      </c>
      <c r="D1806" s="3">
        <v>981426.3</v>
      </c>
      <c r="E1806" s="3">
        <v>882381.57348534698</v>
      </c>
      <c r="F1806" s="3">
        <v>2197327.3936056499</v>
      </c>
      <c r="G1806" s="1">
        <v>45322</v>
      </c>
      <c r="H1806" s="2">
        <v>45352</v>
      </c>
    </row>
    <row r="1807" spans="1:8" hidden="1" x14ac:dyDescent="0.45">
      <c r="A1807">
        <v>1805</v>
      </c>
      <c r="B1807" t="s">
        <v>8</v>
      </c>
      <c r="C1807" s="3">
        <v>806903.29197911604</v>
      </c>
      <c r="D1807" s="3">
        <v>1447784.47</v>
      </c>
      <c r="E1807" s="3">
        <v>409672.45748835802</v>
      </c>
      <c r="F1807" s="3">
        <v>1251648.49982358</v>
      </c>
      <c r="G1807" s="1">
        <v>45322</v>
      </c>
      <c r="H1807" s="2">
        <v>45383</v>
      </c>
    </row>
    <row r="1808" spans="1:8" hidden="1" x14ac:dyDescent="0.45">
      <c r="A1808">
        <v>1806</v>
      </c>
      <c r="B1808" t="s">
        <v>8</v>
      </c>
      <c r="C1808" s="3">
        <v>1059981.8154028601</v>
      </c>
      <c r="D1808" s="3">
        <v>825649.49999999895</v>
      </c>
      <c r="E1808" s="3">
        <v>602111.87353841995</v>
      </c>
      <c r="F1808" s="3">
        <v>1550464.6637423199</v>
      </c>
      <c r="G1808" s="1">
        <v>45322</v>
      </c>
      <c r="H1808" s="2">
        <v>45413</v>
      </c>
    </row>
    <row r="1809" spans="1:8" hidden="1" x14ac:dyDescent="0.45">
      <c r="A1809">
        <v>1807</v>
      </c>
      <c r="B1809" t="s">
        <v>8</v>
      </c>
      <c r="C1809" s="3">
        <v>1130815.1135971099</v>
      </c>
      <c r="D1809" s="3">
        <v>801336.679999999</v>
      </c>
      <c r="E1809" s="3">
        <v>652836.55690859398</v>
      </c>
      <c r="F1809" s="3">
        <v>1662764.94974395</v>
      </c>
      <c r="G1809" s="1">
        <v>45322</v>
      </c>
      <c r="H1809" s="2">
        <v>45444</v>
      </c>
    </row>
    <row r="1810" spans="1:8" hidden="1" x14ac:dyDescent="0.45">
      <c r="A1810">
        <v>1808</v>
      </c>
      <c r="B1810" t="s">
        <v>8</v>
      </c>
      <c r="C1810" s="3">
        <v>1244267.31501095</v>
      </c>
      <c r="D1810" s="3">
        <v>905486.26</v>
      </c>
      <c r="E1810" s="3">
        <v>711162.89367802802</v>
      </c>
      <c r="F1810" s="3">
        <v>1804373.37666769</v>
      </c>
      <c r="G1810" s="1">
        <v>45322</v>
      </c>
      <c r="H1810" s="2">
        <v>45474</v>
      </c>
    </row>
    <row r="1811" spans="1:8" hidden="1" x14ac:dyDescent="0.45">
      <c r="A1811">
        <v>1809</v>
      </c>
      <c r="B1811" t="s">
        <v>8</v>
      </c>
      <c r="C1811" s="3">
        <v>1169711.15998316</v>
      </c>
      <c r="D1811" s="3">
        <v>886353.54</v>
      </c>
      <c r="E1811" s="3">
        <v>677032.51017917995</v>
      </c>
      <c r="F1811" s="3">
        <v>1689664.7839208201</v>
      </c>
      <c r="G1811" s="1">
        <v>45322</v>
      </c>
      <c r="H1811" s="2">
        <v>45505</v>
      </c>
    </row>
    <row r="1812" spans="1:8" hidden="1" x14ac:dyDescent="0.45">
      <c r="A1812">
        <v>1810</v>
      </c>
      <c r="B1812" t="s">
        <v>8</v>
      </c>
      <c r="C1812" s="3">
        <v>1145275.7382086001</v>
      </c>
      <c r="D1812" s="3">
        <v>1526763.23</v>
      </c>
      <c r="E1812" s="3">
        <v>667527.25404446095</v>
      </c>
      <c r="F1812" s="3">
        <v>1640118.0699613399</v>
      </c>
      <c r="G1812" s="1">
        <v>45322</v>
      </c>
      <c r="H1812" s="2">
        <v>45536</v>
      </c>
    </row>
    <row r="1813" spans="1:8" hidden="1" x14ac:dyDescent="0.45">
      <c r="A1813">
        <v>1811</v>
      </c>
      <c r="B1813" t="s">
        <v>8</v>
      </c>
      <c r="C1813" s="3">
        <v>979420.25659690402</v>
      </c>
      <c r="D1813" s="3">
        <v>582826.02999999898</v>
      </c>
      <c r="E1813" s="3">
        <v>565621.60534423904</v>
      </c>
      <c r="F1813" s="3">
        <v>1432676.5154073001</v>
      </c>
      <c r="G1813" s="1">
        <v>45322</v>
      </c>
      <c r="H1813" s="2">
        <v>45566</v>
      </c>
    </row>
    <row r="1814" spans="1:8" hidden="1" x14ac:dyDescent="0.45">
      <c r="A1814">
        <v>1812</v>
      </c>
      <c r="B1814" t="s">
        <v>8</v>
      </c>
      <c r="C1814" s="3">
        <v>1944349.3882024901</v>
      </c>
      <c r="D1814" s="3"/>
      <c r="E1814" s="3">
        <v>1185044.3067958499</v>
      </c>
      <c r="F1814" s="3">
        <v>2741636.17320493</v>
      </c>
      <c r="G1814" s="1">
        <v>45322</v>
      </c>
      <c r="H1814" s="2">
        <v>45597</v>
      </c>
    </row>
    <row r="1815" spans="1:8" hidden="1" x14ac:dyDescent="0.45">
      <c r="A1815">
        <v>1813</v>
      </c>
      <c r="B1815" t="s">
        <v>8</v>
      </c>
      <c r="C1815" s="3">
        <v>711189.02329408401</v>
      </c>
      <c r="D1815" s="3"/>
      <c r="E1815" s="3">
        <v>387512.31975642103</v>
      </c>
      <c r="F1815" s="3">
        <v>1069332.36747463</v>
      </c>
      <c r="G1815" s="1">
        <v>45322</v>
      </c>
      <c r="H1815" s="2">
        <v>45627</v>
      </c>
    </row>
    <row r="1816" spans="1:8" hidden="1" x14ac:dyDescent="0.45">
      <c r="A1816">
        <v>1814</v>
      </c>
      <c r="B1816" t="s">
        <v>8</v>
      </c>
      <c r="C1816" s="3">
        <v>1076616.01068969</v>
      </c>
      <c r="D1816" s="3"/>
      <c r="E1816" s="3">
        <v>611117.42190371605</v>
      </c>
      <c r="F1816" s="3">
        <v>1548078.3973087899</v>
      </c>
      <c r="G1816" s="1">
        <v>45322</v>
      </c>
      <c r="H1816" s="2">
        <v>45658</v>
      </c>
    </row>
    <row r="1817" spans="1:8" hidden="1" x14ac:dyDescent="0.45">
      <c r="A1817">
        <v>1815</v>
      </c>
      <c r="B1817" t="s">
        <v>8</v>
      </c>
      <c r="C1817" s="3">
        <v>971370.86442758201</v>
      </c>
      <c r="D1817" s="3"/>
      <c r="E1817" s="3">
        <v>531486.56031096098</v>
      </c>
      <c r="F1817" s="3">
        <v>1453573.05632443</v>
      </c>
      <c r="G1817" s="1">
        <v>45322</v>
      </c>
      <c r="H1817" s="2">
        <v>45689</v>
      </c>
    </row>
    <row r="1818" spans="1:8" hidden="1" x14ac:dyDescent="0.45">
      <c r="A1818">
        <v>1816</v>
      </c>
      <c r="B1818" t="s">
        <v>8</v>
      </c>
      <c r="C1818" s="3">
        <v>1363940.3152891099</v>
      </c>
      <c r="D1818" s="3"/>
      <c r="E1818" s="3">
        <v>773218.89344786503</v>
      </c>
      <c r="F1818" s="3">
        <v>1993768.93552491</v>
      </c>
      <c r="G1818" s="1">
        <v>45322</v>
      </c>
      <c r="H1818" s="2">
        <v>45717</v>
      </c>
    </row>
    <row r="1819" spans="1:8" hidden="1" x14ac:dyDescent="0.45">
      <c r="A1819">
        <v>1817</v>
      </c>
      <c r="B1819" t="s">
        <v>8</v>
      </c>
      <c r="C1819" s="3">
        <v>761787.79876802198</v>
      </c>
      <c r="D1819" s="3"/>
      <c r="E1819" s="3">
        <v>379911.22663498297</v>
      </c>
      <c r="F1819" s="3">
        <v>1192621.9677335599</v>
      </c>
      <c r="G1819" s="1">
        <v>45322</v>
      </c>
      <c r="H1819" s="2">
        <v>45748</v>
      </c>
    </row>
    <row r="1820" spans="1:8" hidden="1" x14ac:dyDescent="0.45">
      <c r="A1820">
        <v>1818</v>
      </c>
      <c r="B1820" t="s">
        <v>8</v>
      </c>
      <c r="C1820" s="3">
        <v>997953.99587367999</v>
      </c>
      <c r="D1820" s="3"/>
      <c r="E1820" s="3">
        <v>576454.42766051705</v>
      </c>
      <c r="F1820" s="3">
        <v>1471958.05312671</v>
      </c>
      <c r="G1820" s="1">
        <v>45322</v>
      </c>
      <c r="H1820" s="2">
        <v>45778</v>
      </c>
    </row>
    <row r="1821" spans="1:8" hidden="1" x14ac:dyDescent="0.45">
      <c r="A1821">
        <v>1819</v>
      </c>
      <c r="B1821" t="s">
        <v>8</v>
      </c>
      <c r="C1821" s="3">
        <v>1085180.7915718199</v>
      </c>
      <c r="D1821" s="3"/>
      <c r="E1821" s="3">
        <v>615095.02963640599</v>
      </c>
      <c r="F1821" s="3">
        <v>1588684.2890494701</v>
      </c>
      <c r="G1821" s="1">
        <v>45322</v>
      </c>
      <c r="H1821" s="2">
        <v>45809</v>
      </c>
    </row>
    <row r="1822" spans="1:8" hidden="1" x14ac:dyDescent="0.45">
      <c r="A1822">
        <v>1820</v>
      </c>
      <c r="B1822" t="s">
        <v>8</v>
      </c>
      <c r="C1822" s="3">
        <v>1200152.6344785499</v>
      </c>
      <c r="D1822" s="3"/>
      <c r="E1822" s="3">
        <v>687844.29760960396</v>
      </c>
      <c r="F1822" s="3">
        <v>1761392.59005717</v>
      </c>
      <c r="G1822" s="1">
        <v>45322</v>
      </c>
      <c r="H1822" s="2">
        <v>45839</v>
      </c>
    </row>
    <row r="1823" spans="1:8" hidden="1" x14ac:dyDescent="0.45">
      <c r="A1823">
        <v>1821</v>
      </c>
      <c r="B1823" t="s">
        <v>8</v>
      </c>
      <c r="C1823" s="3">
        <v>1138695.5663518701</v>
      </c>
      <c r="D1823" s="3"/>
      <c r="E1823" s="3">
        <v>662240.06189590204</v>
      </c>
      <c r="F1823" s="3">
        <v>1658373.6626188101</v>
      </c>
      <c r="G1823" s="1">
        <v>45322</v>
      </c>
      <c r="H1823" s="2">
        <v>45870</v>
      </c>
    </row>
    <row r="1824" spans="1:8" hidden="1" x14ac:dyDescent="0.45">
      <c r="A1824">
        <v>1822</v>
      </c>
      <c r="B1824" t="s">
        <v>8</v>
      </c>
      <c r="C1824" s="3">
        <v>1121882.90094367</v>
      </c>
      <c r="D1824" s="3"/>
      <c r="E1824" s="3">
        <v>653951.31476101396</v>
      </c>
      <c r="F1824" s="3">
        <v>1616090.4273582899</v>
      </c>
      <c r="G1824" s="1">
        <v>45322</v>
      </c>
      <c r="H1824" s="2">
        <v>45901</v>
      </c>
    </row>
    <row r="1825" spans="1:8" hidden="1" x14ac:dyDescent="0.45">
      <c r="A1825">
        <v>1823</v>
      </c>
      <c r="B1825" t="s">
        <v>8</v>
      </c>
      <c r="C1825" s="3">
        <v>960615.41281655105</v>
      </c>
      <c r="D1825" s="3"/>
      <c r="E1825" s="3">
        <v>547937.35396251397</v>
      </c>
      <c r="F1825" s="3">
        <v>1396822.4861881</v>
      </c>
      <c r="G1825" s="1">
        <v>45322</v>
      </c>
      <c r="H1825" s="2">
        <v>45931</v>
      </c>
    </row>
    <row r="1826" spans="1:8" hidden="1" x14ac:dyDescent="0.45">
      <c r="A1826">
        <v>1824</v>
      </c>
      <c r="B1826" t="s">
        <v>7</v>
      </c>
      <c r="C1826" s="3">
        <v>130408.06550405201</v>
      </c>
      <c r="D1826" s="3">
        <v>28250.62</v>
      </c>
      <c r="E1826" s="3">
        <v>79654.124784471394</v>
      </c>
      <c r="F1826" s="3">
        <v>183256.58424130399</v>
      </c>
      <c r="G1826" s="1">
        <v>45351</v>
      </c>
      <c r="H1826" s="2">
        <v>44228</v>
      </c>
    </row>
    <row r="1827" spans="1:8" hidden="1" x14ac:dyDescent="0.45">
      <c r="A1827">
        <v>1825</v>
      </c>
      <c r="B1827" t="s">
        <v>7</v>
      </c>
      <c r="C1827" s="3">
        <v>263399.18138540402</v>
      </c>
      <c r="D1827" s="3">
        <v>36247.919999999998</v>
      </c>
      <c r="E1827" s="3">
        <v>171709.94770067299</v>
      </c>
      <c r="F1827" s="3">
        <v>355393.421667605</v>
      </c>
      <c r="G1827" s="1">
        <v>45351</v>
      </c>
      <c r="H1827" s="2">
        <v>44256</v>
      </c>
    </row>
    <row r="1828" spans="1:8" hidden="1" x14ac:dyDescent="0.45">
      <c r="A1828">
        <v>1826</v>
      </c>
      <c r="B1828" t="s">
        <v>7</v>
      </c>
      <c r="C1828" s="3">
        <v>141936.964207299</v>
      </c>
      <c r="D1828" s="3">
        <v>14721.48</v>
      </c>
      <c r="E1828" s="3">
        <v>76892.084139905797</v>
      </c>
      <c r="F1828" s="3">
        <v>210086.92080730101</v>
      </c>
      <c r="G1828" s="1">
        <v>45351</v>
      </c>
      <c r="H1828" s="2">
        <v>44287</v>
      </c>
    </row>
    <row r="1829" spans="1:8" hidden="1" x14ac:dyDescent="0.45">
      <c r="A1829">
        <v>1827</v>
      </c>
      <c r="B1829" t="s">
        <v>7</v>
      </c>
      <c r="C1829" s="3">
        <v>203802.58076496099</v>
      </c>
      <c r="D1829" s="3">
        <v>94346.71</v>
      </c>
      <c r="E1829" s="3">
        <v>120111.284986545</v>
      </c>
      <c r="F1829" s="3">
        <v>295664.46490079199</v>
      </c>
      <c r="G1829" s="1">
        <v>45351</v>
      </c>
      <c r="H1829" s="2">
        <v>44317</v>
      </c>
    </row>
    <row r="1830" spans="1:8" hidden="1" x14ac:dyDescent="0.45">
      <c r="A1830">
        <v>1828</v>
      </c>
      <c r="B1830" t="s">
        <v>7</v>
      </c>
      <c r="C1830" s="3">
        <v>395168.55276474298</v>
      </c>
      <c r="D1830" s="3">
        <v>970740.72</v>
      </c>
      <c r="E1830" s="3">
        <v>253193.72526605401</v>
      </c>
      <c r="F1830" s="3">
        <v>554911.877280958</v>
      </c>
      <c r="G1830" s="1">
        <v>45351</v>
      </c>
      <c r="H1830" s="2">
        <v>44348</v>
      </c>
    </row>
    <row r="1831" spans="1:8" hidden="1" x14ac:dyDescent="0.45">
      <c r="A1831">
        <v>1829</v>
      </c>
      <c r="B1831" t="s">
        <v>7</v>
      </c>
      <c r="C1831" s="3">
        <v>919536.15759529395</v>
      </c>
      <c r="D1831" s="3">
        <v>1798271.24</v>
      </c>
      <c r="E1831" s="3">
        <v>618263.74333039403</v>
      </c>
      <c r="F1831" s="3">
        <v>1231042.0344600901</v>
      </c>
      <c r="G1831" s="1">
        <v>45351</v>
      </c>
      <c r="H1831" s="2">
        <v>44378</v>
      </c>
    </row>
    <row r="1832" spans="1:8" hidden="1" x14ac:dyDescent="0.45">
      <c r="A1832">
        <v>1830</v>
      </c>
      <c r="B1832" t="s">
        <v>7</v>
      </c>
      <c r="C1832" s="3">
        <v>979678.19211744505</v>
      </c>
      <c r="D1832" s="3">
        <v>700449.31</v>
      </c>
      <c r="E1832" s="3">
        <v>642594.43910690304</v>
      </c>
      <c r="F1832" s="3">
        <v>1298968.0641890899</v>
      </c>
      <c r="G1832" s="1">
        <v>45351</v>
      </c>
      <c r="H1832" s="2">
        <v>44409</v>
      </c>
    </row>
    <row r="1833" spans="1:8" hidden="1" x14ac:dyDescent="0.45">
      <c r="A1833">
        <v>1831</v>
      </c>
      <c r="B1833" t="s">
        <v>7</v>
      </c>
      <c r="C1833" s="3">
        <v>1043623.10441447</v>
      </c>
      <c r="D1833" s="3">
        <v>1784906.52</v>
      </c>
      <c r="E1833" s="3">
        <v>683965.02040035801</v>
      </c>
      <c r="F1833" s="3">
        <v>1432863.57586342</v>
      </c>
      <c r="G1833" s="1">
        <v>45351</v>
      </c>
      <c r="H1833" s="2">
        <v>44440</v>
      </c>
    </row>
    <row r="1834" spans="1:8" hidden="1" x14ac:dyDescent="0.45">
      <c r="A1834">
        <v>1832</v>
      </c>
      <c r="B1834" t="s">
        <v>7</v>
      </c>
      <c r="C1834" s="3">
        <v>925457.55757975299</v>
      </c>
      <c r="D1834" s="3">
        <v>706422.77</v>
      </c>
      <c r="E1834" s="3">
        <v>588460.81924727198</v>
      </c>
      <c r="F1834" s="3">
        <v>1292629.58544673</v>
      </c>
      <c r="G1834" s="1">
        <v>45351</v>
      </c>
      <c r="H1834" s="2">
        <v>44470</v>
      </c>
    </row>
    <row r="1835" spans="1:8" hidden="1" x14ac:dyDescent="0.45">
      <c r="A1835">
        <v>1833</v>
      </c>
      <c r="B1835" t="s">
        <v>7</v>
      </c>
      <c r="C1835" s="3">
        <v>1967343.46753196</v>
      </c>
      <c r="D1835" s="3">
        <v>3115611.92</v>
      </c>
      <c r="E1835" s="3">
        <v>1414579.19842691</v>
      </c>
      <c r="F1835" s="3">
        <v>2534362.3871198199</v>
      </c>
      <c r="G1835" s="1">
        <v>45351</v>
      </c>
      <c r="H1835" s="2">
        <v>44501</v>
      </c>
    </row>
    <row r="1836" spans="1:8" hidden="1" x14ac:dyDescent="0.45">
      <c r="A1836">
        <v>1834</v>
      </c>
      <c r="B1836" t="s">
        <v>7</v>
      </c>
      <c r="C1836" s="3">
        <v>797030.81214427098</v>
      </c>
      <c r="D1836" s="3">
        <v>227049.91</v>
      </c>
      <c r="E1836" s="3">
        <v>462599.09260950203</v>
      </c>
      <c r="F1836" s="3">
        <v>1157463.8047066501</v>
      </c>
      <c r="G1836" s="1">
        <v>45351</v>
      </c>
      <c r="H1836" s="2">
        <v>44531</v>
      </c>
    </row>
    <row r="1837" spans="1:8" hidden="1" x14ac:dyDescent="0.45">
      <c r="A1837">
        <v>1835</v>
      </c>
      <c r="B1837" t="s">
        <v>7</v>
      </c>
      <c r="C1837" s="3">
        <v>1254983.13223407</v>
      </c>
      <c r="D1837" s="3">
        <v>1231496.1499999999</v>
      </c>
      <c r="E1837" s="3">
        <v>801928.39057382499</v>
      </c>
      <c r="F1837" s="3">
        <v>1734910.9341558099</v>
      </c>
      <c r="G1837" s="1">
        <v>45351</v>
      </c>
      <c r="H1837" s="2">
        <v>44562</v>
      </c>
    </row>
    <row r="1838" spans="1:8" hidden="1" x14ac:dyDescent="0.45">
      <c r="A1838">
        <v>1836</v>
      </c>
      <c r="B1838" t="s">
        <v>7</v>
      </c>
      <c r="C1838" s="3">
        <v>1043757.37526882</v>
      </c>
      <c r="D1838" s="3">
        <v>1031231.86</v>
      </c>
      <c r="E1838" s="3">
        <v>645342.39380150498</v>
      </c>
      <c r="F1838" s="3">
        <v>1482976.9043069601</v>
      </c>
      <c r="G1838" s="1">
        <v>45351</v>
      </c>
      <c r="H1838" s="2">
        <v>44593</v>
      </c>
    </row>
    <row r="1839" spans="1:8" hidden="1" x14ac:dyDescent="0.45">
      <c r="A1839">
        <v>1837</v>
      </c>
      <c r="B1839" t="s">
        <v>7</v>
      </c>
      <c r="C1839" s="3">
        <v>1768231.8009804101</v>
      </c>
      <c r="D1839" s="3">
        <v>2866780.02</v>
      </c>
      <c r="E1839" s="3">
        <v>1145110.4713141299</v>
      </c>
      <c r="F1839" s="3">
        <v>2410339.6184664001</v>
      </c>
      <c r="G1839" s="1">
        <v>45351</v>
      </c>
      <c r="H1839" s="2">
        <v>44621</v>
      </c>
    </row>
    <row r="1840" spans="1:8" hidden="1" x14ac:dyDescent="0.45">
      <c r="A1840">
        <v>1838</v>
      </c>
      <c r="B1840" t="s">
        <v>7</v>
      </c>
      <c r="C1840" s="3">
        <v>886356.49879103899</v>
      </c>
      <c r="D1840" s="3">
        <v>106305.83</v>
      </c>
      <c r="E1840" s="3">
        <v>512852.277139146</v>
      </c>
      <c r="F1840" s="3">
        <v>1298278.2080368099</v>
      </c>
      <c r="G1840" s="1">
        <v>45351</v>
      </c>
      <c r="H1840" s="2">
        <v>44652</v>
      </c>
    </row>
    <row r="1841" spans="1:8" hidden="1" x14ac:dyDescent="0.45">
      <c r="A1841">
        <v>1839</v>
      </c>
      <c r="B1841" t="s">
        <v>7</v>
      </c>
      <c r="C1841" s="3">
        <v>1140906.30860187</v>
      </c>
      <c r="D1841" s="3">
        <v>667164.73</v>
      </c>
      <c r="E1841" s="3">
        <v>667071.56470240396</v>
      </c>
      <c r="F1841" s="3">
        <v>1636418.0142136901</v>
      </c>
      <c r="G1841" s="1">
        <v>45351</v>
      </c>
      <c r="H1841" s="2">
        <v>44682</v>
      </c>
    </row>
    <row r="1842" spans="1:8" hidden="1" x14ac:dyDescent="0.45">
      <c r="A1842">
        <v>1840</v>
      </c>
      <c r="B1842" t="s">
        <v>7</v>
      </c>
      <c r="C1842" s="3">
        <v>1291289.7966227599</v>
      </c>
      <c r="D1842" s="3">
        <v>1398761.09</v>
      </c>
      <c r="E1842" s="3">
        <v>793191.22789987095</v>
      </c>
      <c r="F1842" s="3">
        <v>1813160.51822734</v>
      </c>
      <c r="G1842" s="1">
        <v>45351</v>
      </c>
      <c r="H1842" s="2">
        <v>44713</v>
      </c>
    </row>
    <row r="1843" spans="1:8" hidden="1" x14ac:dyDescent="0.45">
      <c r="A1843">
        <v>1841</v>
      </c>
      <c r="B1843" t="s">
        <v>7</v>
      </c>
      <c r="C1843" s="3">
        <v>1439513.45157576</v>
      </c>
      <c r="D1843" s="3">
        <v>931475.54</v>
      </c>
      <c r="E1843" s="3">
        <v>886182.86977843195</v>
      </c>
      <c r="F1843" s="3">
        <v>2010977.9865669899</v>
      </c>
      <c r="G1843" s="1">
        <v>45351</v>
      </c>
      <c r="H1843" s="2">
        <v>44743</v>
      </c>
    </row>
    <row r="1844" spans="1:8" hidden="1" x14ac:dyDescent="0.45">
      <c r="A1844">
        <v>1842</v>
      </c>
      <c r="B1844" t="s">
        <v>7</v>
      </c>
      <c r="C1844" s="3">
        <v>1275206.5345616899</v>
      </c>
      <c r="D1844" s="3">
        <v>1335916.6499999999</v>
      </c>
      <c r="E1844" s="3">
        <v>793563.37166508101</v>
      </c>
      <c r="F1844" s="3">
        <v>1788306.9752797999</v>
      </c>
      <c r="G1844" s="1">
        <v>45351</v>
      </c>
      <c r="H1844" s="2">
        <v>44774</v>
      </c>
    </row>
    <row r="1845" spans="1:8" hidden="1" x14ac:dyDescent="0.45">
      <c r="A1845">
        <v>1843</v>
      </c>
      <c r="B1845" t="s">
        <v>7</v>
      </c>
      <c r="C1845" s="3">
        <v>1248299.86451122</v>
      </c>
      <c r="D1845" s="3">
        <v>976647.27</v>
      </c>
      <c r="E1845" s="3">
        <v>778535.47876879899</v>
      </c>
      <c r="F1845" s="3">
        <v>1781722.75927549</v>
      </c>
      <c r="G1845" s="1">
        <v>45351</v>
      </c>
      <c r="H1845" s="2">
        <v>44805</v>
      </c>
    </row>
    <row r="1846" spans="1:8" hidden="1" x14ac:dyDescent="0.45">
      <c r="A1846">
        <v>1844</v>
      </c>
      <c r="B1846" t="s">
        <v>7</v>
      </c>
      <c r="C1846" s="3">
        <v>1039187.44529962</v>
      </c>
      <c r="D1846" s="3">
        <v>975982.86</v>
      </c>
      <c r="E1846" s="3">
        <v>614134.31434099295</v>
      </c>
      <c r="F1846" s="3">
        <v>1494725.8498990501</v>
      </c>
      <c r="G1846" s="1">
        <v>45351</v>
      </c>
      <c r="H1846" s="2">
        <v>44835</v>
      </c>
    </row>
    <row r="1847" spans="1:8" hidden="1" x14ac:dyDescent="0.45">
      <c r="A1847">
        <v>1845</v>
      </c>
      <c r="B1847" t="s">
        <v>7</v>
      </c>
      <c r="C1847" s="3">
        <v>2216405.5389241301</v>
      </c>
      <c r="D1847" s="3">
        <v>2010415.16</v>
      </c>
      <c r="E1847" s="3">
        <v>1472539.0187975301</v>
      </c>
      <c r="F1847" s="3">
        <v>3026472.7270423002</v>
      </c>
      <c r="G1847" s="1">
        <v>45351</v>
      </c>
      <c r="H1847" s="2">
        <v>44866</v>
      </c>
    </row>
    <row r="1848" spans="1:8" hidden="1" x14ac:dyDescent="0.45">
      <c r="A1848">
        <v>1846</v>
      </c>
      <c r="B1848" t="s">
        <v>7</v>
      </c>
      <c r="C1848" s="3">
        <v>769298.52403894195</v>
      </c>
      <c r="D1848" s="3">
        <v>348929.42</v>
      </c>
      <c r="E1848" s="3">
        <v>443562.16769722098</v>
      </c>
      <c r="F1848" s="3">
        <v>1128289.6208720801</v>
      </c>
      <c r="G1848" s="1">
        <v>45351</v>
      </c>
      <c r="H1848" s="2">
        <v>44896</v>
      </c>
    </row>
    <row r="1849" spans="1:8" hidden="1" x14ac:dyDescent="0.45">
      <c r="A1849">
        <v>1847</v>
      </c>
      <c r="B1849" t="s">
        <v>7</v>
      </c>
      <c r="C1849" s="3">
        <v>1179944.5181877699</v>
      </c>
      <c r="D1849" s="3">
        <v>1096298.6399999999</v>
      </c>
      <c r="E1849" s="3">
        <v>727528.29586142395</v>
      </c>
      <c r="F1849" s="3">
        <v>1674105.91789123</v>
      </c>
      <c r="G1849" s="1">
        <v>45351</v>
      </c>
      <c r="H1849" s="2">
        <v>44927</v>
      </c>
    </row>
    <row r="1850" spans="1:8" hidden="1" x14ac:dyDescent="0.45">
      <c r="A1850">
        <v>1848</v>
      </c>
      <c r="B1850" t="s">
        <v>7</v>
      </c>
      <c r="C1850" s="3">
        <v>975962.14534237597</v>
      </c>
      <c r="D1850" s="3">
        <v>1036928.47</v>
      </c>
      <c r="E1850" s="3">
        <v>587092.07173669501</v>
      </c>
      <c r="F1850" s="3">
        <v>1419075.6110020699</v>
      </c>
      <c r="G1850" s="1">
        <v>45351</v>
      </c>
      <c r="H1850" s="2">
        <v>44958</v>
      </c>
    </row>
    <row r="1851" spans="1:8" hidden="1" x14ac:dyDescent="0.45">
      <c r="A1851">
        <v>1849</v>
      </c>
      <c r="B1851" t="s">
        <v>7</v>
      </c>
      <c r="C1851" s="3">
        <v>1520195.4383288899</v>
      </c>
      <c r="D1851" s="3">
        <v>660363.89</v>
      </c>
      <c r="E1851" s="3">
        <v>926977.47920548997</v>
      </c>
      <c r="F1851" s="3">
        <v>2168856.68088284</v>
      </c>
      <c r="G1851" s="1">
        <v>45351</v>
      </c>
      <c r="H1851" s="2">
        <v>44986</v>
      </c>
    </row>
    <row r="1852" spans="1:8" hidden="1" x14ac:dyDescent="0.45">
      <c r="A1852">
        <v>1850</v>
      </c>
      <c r="B1852" t="s">
        <v>7</v>
      </c>
      <c r="C1852" s="3">
        <v>784319.34544437705</v>
      </c>
      <c r="D1852" s="3">
        <v>1093282.48</v>
      </c>
      <c r="E1852" s="3">
        <v>433438.40594503598</v>
      </c>
      <c r="F1852" s="3">
        <v>1159525.1996102701</v>
      </c>
      <c r="G1852" s="1">
        <v>45351</v>
      </c>
      <c r="H1852" s="2">
        <v>45017</v>
      </c>
    </row>
    <row r="1853" spans="1:8" hidden="1" x14ac:dyDescent="0.45">
      <c r="A1853">
        <v>1851</v>
      </c>
      <c r="B1853" t="s">
        <v>7</v>
      </c>
      <c r="C1853" s="3">
        <v>1033699.43430086</v>
      </c>
      <c r="D1853" s="3">
        <v>1212297.6200000001</v>
      </c>
      <c r="E1853" s="3">
        <v>604489.33186058397</v>
      </c>
      <c r="F1853" s="3">
        <v>1516615.78904107</v>
      </c>
      <c r="G1853" s="1">
        <v>45351</v>
      </c>
      <c r="H1853" s="2">
        <v>45047</v>
      </c>
    </row>
    <row r="1854" spans="1:8" hidden="1" x14ac:dyDescent="0.45">
      <c r="A1854">
        <v>1852</v>
      </c>
      <c r="B1854" t="s">
        <v>7</v>
      </c>
      <c r="C1854" s="3">
        <v>1131678.89431009</v>
      </c>
      <c r="D1854" s="3">
        <v>1041503.83</v>
      </c>
      <c r="E1854" s="3">
        <v>664371.87168860994</v>
      </c>
      <c r="F1854" s="3">
        <v>1645262.89423358</v>
      </c>
      <c r="G1854" s="1">
        <v>45351</v>
      </c>
      <c r="H1854" s="2">
        <v>45078</v>
      </c>
    </row>
    <row r="1855" spans="1:8" hidden="1" x14ac:dyDescent="0.45">
      <c r="A1855">
        <v>1853</v>
      </c>
      <c r="B1855" t="s">
        <v>7</v>
      </c>
      <c r="C1855" s="3">
        <v>1265270.2078549699</v>
      </c>
      <c r="D1855" s="3">
        <v>1103446</v>
      </c>
      <c r="E1855" s="3">
        <v>750216.94188334094</v>
      </c>
      <c r="F1855" s="3">
        <v>1827520.7194368499</v>
      </c>
      <c r="G1855" s="1">
        <v>45351</v>
      </c>
      <c r="H1855" s="2">
        <v>45108</v>
      </c>
    </row>
    <row r="1856" spans="1:8" hidden="1" x14ac:dyDescent="0.45">
      <c r="A1856">
        <v>1854</v>
      </c>
      <c r="B1856" t="s">
        <v>7</v>
      </c>
      <c r="C1856" s="3">
        <v>1191834.6970436601</v>
      </c>
      <c r="D1856" s="3">
        <v>1157502.68</v>
      </c>
      <c r="E1856" s="3">
        <v>699066.39948449295</v>
      </c>
      <c r="F1856" s="3">
        <v>1722596.9559539801</v>
      </c>
      <c r="G1856" s="1">
        <v>45351</v>
      </c>
      <c r="H1856" s="2">
        <v>45139</v>
      </c>
    </row>
    <row r="1857" spans="1:8" hidden="1" x14ac:dyDescent="0.45">
      <c r="A1857">
        <v>1855</v>
      </c>
      <c r="B1857" t="s">
        <v>7</v>
      </c>
      <c r="C1857" s="3">
        <v>1175424.4860094001</v>
      </c>
      <c r="D1857" s="3">
        <v>1330269.6499999999</v>
      </c>
      <c r="E1857" s="3">
        <v>682245.15117233398</v>
      </c>
      <c r="F1857" s="3">
        <v>1692852.6688767299</v>
      </c>
      <c r="G1857" s="1">
        <v>45351</v>
      </c>
      <c r="H1857" s="2">
        <v>45170</v>
      </c>
    </row>
    <row r="1858" spans="1:8" hidden="1" x14ac:dyDescent="0.45">
      <c r="A1858">
        <v>1856</v>
      </c>
      <c r="B1858" t="s">
        <v>7</v>
      </c>
      <c r="C1858" s="3">
        <v>1030268.70262509</v>
      </c>
      <c r="D1858" s="3">
        <v>1219536.81</v>
      </c>
      <c r="E1858" s="3">
        <v>584545.94755128096</v>
      </c>
      <c r="F1858" s="3">
        <v>1526002.8371630199</v>
      </c>
      <c r="G1858" s="1">
        <v>45351</v>
      </c>
      <c r="H1858" s="2">
        <v>45200</v>
      </c>
    </row>
    <row r="1859" spans="1:8" hidden="1" x14ac:dyDescent="0.45">
      <c r="A1859">
        <v>1857</v>
      </c>
      <c r="B1859" t="s">
        <v>7</v>
      </c>
      <c r="C1859" s="3">
        <v>2111186.10744322</v>
      </c>
      <c r="D1859" s="3">
        <v>2038136.91</v>
      </c>
      <c r="E1859" s="3">
        <v>1355810.19663827</v>
      </c>
      <c r="F1859" s="3">
        <v>2937733.3440803601</v>
      </c>
      <c r="G1859" s="1">
        <v>45351</v>
      </c>
      <c r="H1859" s="2">
        <v>45231</v>
      </c>
    </row>
    <row r="1860" spans="1:8" hidden="1" x14ac:dyDescent="0.45">
      <c r="A1860">
        <v>1858</v>
      </c>
      <c r="B1860" t="s">
        <v>7</v>
      </c>
      <c r="C1860" s="3">
        <v>806774.73638380796</v>
      </c>
      <c r="D1860" s="3">
        <v>950044.03</v>
      </c>
      <c r="E1860" s="3">
        <v>453636.39497140102</v>
      </c>
      <c r="F1860" s="3">
        <v>1198210.59779577</v>
      </c>
      <c r="G1860" s="1">
        <v>45351</v>
      </c>
      <c r="H1860" s="2">
        <v>45261</v>
      </c>
    </row>
    <row r="1861" spans="1:8" hidden="1" x14ac:dyDescent="0.45">
      <c r="A1861">
        <v>1859</v>
      </c>
      <c r="B1861" t="s">
        <v>7</v>
      </c>
      <c r="C1861" s="3">
        <v>1237020.75441413</v>
      </c>
      <c r="D1861" s="3">
        <v>1410224.61</v>
      </c>
      <c r="E1861" s="3">
        <v>739685.78672166204</v>
      </c>
      <c r="F1861" s="3">
        <v>1788032.7342606799</v>
      </c>
      <c r="G1861" s="1">
        <v>45351</v>
      </c>
      <c r="H1861" s="2">
        <v>45292</v>
      </c>
    </row>
    <row r="1862" spans="1:8" hidden="1" x14ac:dyDescent="0.45">
      <c r="A1862">
        <v>1860</v>
      </c>
      <c r="B1862" t="s">
        <v>7</v>
      </c>
      <c r="C1862" s="3">
        <v>1046134.59779928</v>
      </c>
      <c r="D1862" s="3">
        <v>1062970.03</v>
      </c>
      <c r="E1862" s="3">
        <v>594816.47578043002</v>
      </c>
      <c r="F1862" s="3">
        <v>1536260.6690418799</v>
      </c>
      <c r="G1862" s="1">
        <v>45351</v>
      </c>
      <c r="H1862" s="2">
        <v>45323</v>
      </c>
    </row>
    <row r="1863" spans="1:8" hidden="1" x14ac:dyDescent="0.45">
      <c r="A1863">
        <v>1861</v>
      </c>
      <c r="B1863" t="s">
        <v>8</v>
      </c>
      <c r="C1863" s="3">
        <v>1535670.2737083</v>
      </c>
      <c r="D1863" s="3">
        <v>1030761.5</v>
      </c>
      <c r="E1863" s="3">
        <v>850317.96491674997</v>
      </c>
      <c r="F1863" s="3">
        <v>2243686.90080505</v>
      </c>
      <c r="G1863" s="1">
        <v>45351</v>
      </c>
      <c r="H1863" s="2">
        <v>45352</v>
      </c>
    </row>
    <row r="1864" spans="1:8" hidden="1" x14ac:dyDescent="0.45">
      <c r="A1864">
        <v>1862</v>
      </c>
      <c r="B1864" t="s">
        <v>8</v>
      </c>
      <c r="C1864" s="3">
        <v>842366.00195626495</v>
      </c>
      <c r="D1864" s="3">
        <v>1493769.12</v>
      </c>
      <c r="E1864" s="3">
        <v>428925.18418176798</v>
      </c>
      <c r="F1864" s="3">
        <v>1290914.3929809299</v>
      </c>
      <c r="G1864" s="1">
        <v>45351</v>
      </c>
      <c r="H1864" s="2">
        <v>45383</v>
      </c>
    </row>
    <row r="1865" spans="1:8" hidden="1" x14ac:dyDescent="0.45">
      <c r="A1865">
        <v>1863</v>
      </c>
      <c r="B1865" t="s">
        <v>8</v>
      </c>
      <c r="C1865" s="3">
        <v>1072283.59937064</v>
      </c>
      <c r="D1865" s="3">
        <v>859384.09999999905</v>
      </c>
      <c r="E1865" s="3">
        <v>571267.43103692704</v>
      </c>
      <c r="F1865" s="3">
        <v>1621052.59558345</v>
      </c>
      <c r="G1865" s="1">
        <v>45351</v>
      </c>
      <c r="H1865" s="2">
        <v>45413</v>
      </c>
    </row>
    <row r="1866" spans="1:8" hidden="1" x14ac:dyDescent="0.45">
      <c r="A1866">
        <v>1864</v>
      </c>
      <c r="B1866" t="s">
        <v>8</v>
      </c>
      <c r="C1866" s="3">
        <v>1124099.09369658</v>
      </c>
      <c r="D1866" s="3">
        <v>830364.2</v>
      </c>
      <c r="E1866" s="3">
        <v>604942.44389210199</v>
      </c>
      <c r="F1866" s="3">
        <v>1690552.80359882</v>
      </c>
      <c r="G1866" s="1">
        <v>45351</v>
      </c>
      <c r="H1866" s="2">
        <v>45444</v>
      </c>
    </row>
    <row r="1867" spans="1:8" hidden="1" x14ac:dyDescent="0.45">
      <c r="A1867">
        <v>1865</v>
      </c>
      <c r="B1867" t="s">
        <v>8</v>
      </c>
      <c r="C1867" s="3">
        <v>1239294.21605048</v>
      </c>
      <c r="D1867" s="3">
        <v>938765.39</v>
      </c>
      <c r="E1867" s="3">
        <v>701816.55281037104</v>
      </c>
      <c r="F1867" s="3">
        <v>1832161.71727722</v>
      </c>
      <c r="G1867" s="1">
        <v>45351</v>
      </c>
      <c r="H1867" s="2">
        <v>45474</v>
      </c>
    </row>
    <row r="1868" spans="1:8" hidden="1" x14ac:dyDescent="0.45">
      <c r="A1868">
        <v>1866</v>
      </c>
      <c r="B1868" t="s">
        <v>8</v>
      </c>
      <c r="C1868" s="3">
        <v>1184272.90557623</v>
      </c>
      <c r="D1868" s="3">
        <v>923165.27</v>
      </c>
      <c r="E1868" s="3">
        <v>636593.21873326099</v>
      </c>
      <c r="F1868" s="3">
        <v>1788585.0512049899</v>
      </c>
      <c r="G1868" s="1">
        <v>45351</v>
      </c>
      <c r="H1868" s="2">
        <v>45505</v>
      </c>
    </row>
    <row r="1869" spans="1:8" hidden="1" x14ac:dyDescent="0.45">
      <c r="A1869">
        <v>1867</v>
      </c>
      <c r="B1869" t="s">
        <v>8</v>
      </c>
      <c r="C1869" s="3">
        <v>1142671.72225724</v>
      </c>
      <c r="D1869" s="3">
        <v>1570696.97</v>
      </c>
      <c r="E1869" s="3">
        <v>627360.97993276396</v>
      </c>
      <c r="F1869" s="3">
        <v>1712856.4846134</v>
      </c>
      <c r="G1869" s="1">
        <v>45351</v>
      </c>
      <c r="H1869" s="2">
        <v>45536</v>
      </c>
    </row>
    <row r="1870" spans="1:8" hidden="1" x14ac:dyDescent="0.45">
      <c r="A1870">
        <v>1868</v>
      </c>
      <c r="B1870" t="s">
        <v>8</v>
      </c>
      <c r="C1870" s="3">
        <v>991191.81582109001</v>
      </c>
      <c r="D1870" s="3">
        <v>601049.59999999905</v>
      </c>
      <c r="E1870" s="3">
        <v>517080.40869890299</v>
      </c>
      <c r="F1870" s="3">
        <v>1513437.7695796599</v>
      </c>
      <c r="G1870" s="1">
        <v>45351</v>
      </c>
      <c r="H1870" s="2">
        <v>45566</v>
      </c>
    </row>
    <row r="1871" spans="1:8" hidden="1" x14ac:dyDescent="0.45">
      <c r="A1871">
        <v>1869</v>
      </c>
      <c r="B1871" t="s">
        <v>8</v>
      </c>
      <c r="C1871" s="3">
        <v>1949621.7207617599</v>
      </c>
      <c r="D1871" s="3"/>
      <c r="E1871" s="3">
        <v>1142237.0689004799</v>
      </c>
      <c r="F1871" s="3">
        <v>2816505.9107938199</v>
      </c>
      <c r="G1871" s="1">
        <v>45351</v>
      </c>
      <c r="H1871" s="2">
        <v>45597</v>
      </c>
    </row>
    <row r="1872" spans="1:8" hidden="1" x14ac:dyDescent="0.45">
      <c r="A1872">
        <v>1870</v>
      </c>
      <c r="B1872" t="s">
        <v>8</v>
      </c>
      <c r="C1872" s="3">
        <v>729207.06723139901</v>
      </c>
      <c r="D1872" s="3"/>
      <c r="E1872" s="3">
        <v>378709.52549303899</v>
      </c>
      <c r="F1872" s="3">
        <v>1118905.3731152001</v>
      </c>
      <c r="G1872" s="1">
        <v>45351</v>
      </c>
      <c r="H1872" s="2">
        <v>45627</v>
      </c>
    </row>
    <row r="1873" spans="1:8" hidden="1" x14ac:dyDescent="0.45">
      <c r="A1873">
        <v>1871</v>
      </c>
      <c r="B1873" t="s">
        <v>8</v>
      </c>
      <c r="C1873" s="3">
        <v>1094597.5465053001</v>
      </c>
      <c r="D1873" s="3"/>
      <c r="E1873" s="3">
        <v>609788.34721385699</v>
      </c>
      <c r="F1873" s="3">
        <v>1628242.00565325</v>
      </c>
      <c r="G1873" s="1">
        <v>45351</v>
      </c>
      <c r="H1873" s="2">
        <v>45658</v>
      </c>
    </row>
    <row r="1874" spans="1:8" hidden="1" x14ac:dyDescent="0.45">
      <c r="A1874">
        <v>1872</v>
      </c>
      <c r="B1874" t="s">
        <v>8</v>
      </c>
      <c r="C1874" s="3">
        <v>915673.36868655705</v>
      </c>
      <c r="D1874" s="3"/>
      <c r="E1874" s="3">
        <v>489431.71151104401</v>
      </c>
      <c r="F1874" s="3">
        <v>1381620.46231527</v>
      </c>
      <c r="G1874" s="1">
        <v>45351</v>
      </c>
      <c r="H1874" s="2">
        <v>45689</v>
      </c>
    </row>
    <row r="1875" spans="1:8" hidden="1" x14ac:dyDescent="0.45">
      <c r="A1875">
        <v>1873</v>
      </c>
      <c r="B1875" t="s">
        <v>8</v>
      </c>
      <c r="C1875" s="3">
        <v>1349460.14752768</v>
      </c>
      <c r="D1875" s="3"/>
      <c r="E1875" s="3">
        <v>711184.37981845101</v>
      </c>
      <c r="F1875" s="3">
        <v>2025683.6310273299</v>
      </c>
      <c r="G1875" s="1">
        <v>45351</v>
      </c>
      <c r="H1875" s="2">
        <v>45717</v>
      </c>
    </row>
    <row r="1876" spans="1:8" hidden="1" x14ac:dyDescent="0.45">
      <c r="A1876">
        <v>1874</v>
      </c>
      <c r="B1876" t="s">
        <v>8</v>
      </c>
      <c r="C1876" s="3">
        <v>786686.49117079296</v>
      </c>
      <c r="D1876" s="3"/>
      <c r="E1876" s="3">
        <v>382925.44947852998</v>
      </c>
      <c r="F1876" s="3">
        <v>1236359.33289418</v>
      </c>
      <c r="G1876" s="1">
        <v>45351</v>
      </c>
      <c r="H1876" s="2">
        <v>45748</v>
      </c>
    </row>
    <row r="1877" spans="1:8" hidden="1" x14ac:dyDescent="0.45">
      <c r="A1877">
        <v>1875</v>
      </c>
      <c r="B1877" t="s">
        <v>8</v>
      </c>
      <c r="C1877" s="3">
        <v>1002399.5982455</v>
      </c>
      <c r="D1877" s="3"/>
      <c r="E1877" s="3">
        <v>515405.42809266201</v>
      </c>
      <c r="F1877" s="3">
        <v>1526873.01752677</v>
      </c>
      <c r="G1877" s="1">
        <v>45351</v>
      </c>
      <c r="H1877" s="2">
        <v>45778</v>
      </c>
    </row>
    <row r="1878" spans="1:8" hidden="1" x14ac:dyDescent="0.45">
      <c r="A1878">
        <v>1876</v>
      </c>
      <c r="B1878" t="s">
        <v>8</v>
      </c>
      <c r="C1878" s="3">
        <v>1059308.2272388199</v>
      </c>
      <c r="D1878" s="3"/>
      <c r="E1878" s="3">
        <v>562833.002802731</v>
      </c>
      <c r="F1878" s="3">
        <v>1616740.1215599501</v>
      </c>
      <c r="G1878" s="1">
        <v>45351</v>
      </c>
      <c r="H1878" s="2">
        <v>45809</v>
      </c>
    </row>
    <row r="1879" spans="1:8" hidden="1" x14ac:dyDescent="0.45">
      <c r="A1879">
        <v>1877</v>
      </c>
      <c r="B1879" t="s">
        <v>8</v>
      </c>
      <c r="C1879" s="3">
        <v>1174461.6529726801</v>
      </c>
      <c r="D1879" s="3"/>
      <c r="E1879" s="3">
        <v>651072.97675951803</v>
      </c>
      <c r="F1879" s="3">
        <v>1740962.0619373701</v>
      </c>
      <c r="G1879" s="1">
        <v>45351</v>
      </c>
      <c r="H1879" s="2">
        <v>45839</v>
      </c>
    </row>
    <row r="1880" spans="1:8" hidden="1" x14ac:dyDescent="0.45">
      <c r="A1880">
        <v>1878</v>
      </c>
      <c r="B1880" t="s">
        <v>8</v>
      </c>
      <c r="C1880" s="3">
        <v>1143806.98204386</v>
      </c>
      <c r="D1880" s="3"/>
      <c r="E1880" s="3">
        <v>591134.71177575795</v>
      </c>
      <c r="F1880" s="3">
        <v>1737230.8720416301</v>
      </c>
      <c r="G1880" s="1">
        <v>45351</v>
      </c>
      <c r="H1880" s="2">
        <v>45870</v>
      </c>
    </row>
    <row r="1881" spans="1:8" hidden="1" x14ac:dyDescent="0.45">
      <c r="A1881">
        <v>1879</v>
      </c>
      <c r="B1881" t="s">
        <v>8</v>
      </c>
      <c r="C1881" s="3">
        <v>1110484.01329741</v>
      </c>
      <c r="D1881" s="3"/>
      <c r="E1881" s="3">
        <v>598517.611415655</v>
      </c>
      <c r="F1881" s="3">
        <v>1673282.9493849201</v>
      </c>
      <c r="G1881" s="1">
        <v>45351</v>
      </c>
      <c r="H1881" s="2">
        <v>45901</v>
      </c>
    </row>
    <row r="1882" spans="1:8" hidden="1" x14ac:dyDescent="0.45">
      <c r="A1882">
        <v>1880</v>
      </c>
      <c r="B1882" t="s">
        <v>8</v>
      </c>
      <c r="C1882" s="3">
        <v>969951.42082969204</v>
      </c>
      <c r="D1882" s="3"/>
      <c r="E1882" s="3">
        <v>503502.85731526098</v>
      </c>
      <c r="F1882" s="3">
        <v>1495675.0928736201</v>
      </c>
      <c r="G1882" s="1">
        <v>45351</v>
      </c>
      <c r="H1882" s="2">
        <v>45931</v>
      </c>
    </row>
    <row r="1883" spans="1:8" hidden="1" x14ac:dyDescent="0.45">
      <c r="A1883">
        <v>1881</v>
      </c>
      <c r="B1883" t="s">
        <v>7</v>
      </c>
      <c r="C1883" s="3">
        <v>129695.366237843</v>
      </c>
      <c r="D1883" s="3">
        <v>28250.62</v>
      </c>
      <c r="E1883" s="3">
        <v>82341.737999376099</v>
      </c>
      <c r="F1883" s="3">
        <v>183215.14310024001</v>
      </c>
      <c r="G1883" s="1">
        <v>45382</v>
      </c>
      <c r="H1883" s="2">
        <v>44228</v>
      </c>
    </row>
    <row r="1884" spans="1:8" hidden="1" x14ac:dyDescent="0.45">
      <c r="A1884">
        <v>1882</v>
      </c>
      <c r="B1884" t="s">
        <v>7</v>
      </c>
      <c r="C1884" s="3">
        <v>252164.849038366</v>
      </c>
      <c r="D1884" s="3">
        <v>36247.919999999998</v>
      </c>
      <c r="E1884" s="3">
        <v>164638.52827253801</v>
      </c>
      <c r="F1884" s="3">
        <v>345613.23072673299</v>
      </c>
      <c r="G1884" s="1">
        <v>45382</v>
      </c>
      <c r="H1884" s="2">
        <v>44256</v>
      </c>
    </row>
    <row r="1885" spans="1:8" hidden="1" x14ac:dyDescent="0.45">
      <c r="A1885">
        <v>1883</v>
      </c>
      <c r="B1885" t="s">
        <v>7</v>
      </c>
      <c r="C1885" s="3">
        <v>140180.96195992001</v>
      </c>
      <c r="D1885" s="3">
        <v>14721.48</v>
      </c>
      <c r="E1885" s="3">
        <v>77531.992522448301</v>
      </c>
      <c r="F1885" s="3">
        <v>204152.14001409899</v>
      </c>
      <c r="G1885" s="1">
        <v>45382</v>
      </c>
      <c r="H1885" s="2">
        <v>44287</v>
      </c>
    </row>
    <row r="1886" spans="1:8" hidden="1" x14ac:dyDescent="0.45">
      <c r="A1886">
        <v>1884</v>
      </c>
      <c r="B1886" t="s">
        <v>7</v>
      </c>
      <c r="C1886" s="3">
        <v>206017.93505627901</v>
      </c>
      <c r="D1886" s="3">
        <v>94346.71</v>
      </c>
      <c r="E1886" s="3">
        <v>122436.21949436799</v>
      </c>
      <c r="F1886" s="3">
        <v>299052.68506854301</v>
      </c>
      <c r="G1886" s="1">
        <v>45382</v>
      </c>
      <c r="H1886" s="2">
        <v>44317</v>
      </c>
    </row>
    <row r="1887" spans="1:8" hidden="1" x14ac:dyDescent="0.45">
      <c r="A1887">
        <v>1885</v>
      </c>
      <c r="B1887" t="s">
        <v>7</v>
      </c>
      <c r="C1887" s="3">
        <v>400630.97923426097</v>
      </c>
      <c r="D1887" s="3">
        <v>970740.72</v>
      </c>
      <c r="E1887" s="3">
        <v>258546.576319627</v>
      </c>
      <c r="F1887" s="3">
        <v>551161.15453021205</v>
      </c>
      <c r="G1887" s="1">
        <v>45382</v>
      </c>
      <c r="H1887" s="2">
        <v>44348</v>
      </c>
    </row>
    <row r="1888" spans="1:8" hidden="1" x14ac:dyDescent="0.45">
      <c r="A1888">
        <v>1886</v>
      </c>
      <c r="B1888" t="s">
        <v>7</v>
      </c>
      <c r="C1888" s="3">
        <v>917510.64269344602</v>
      </c>
      <c r="D1888" s="3">
        <v>1798271.24</v>
      </c>
      <c r="E1888" s="3">
        <v>622547.08511815697</v>
      </c>
      <c r="F1888" s="3">
        <v>1212123.2592664801</v>
      </c>
      <c r="G1888" s="1">
        <v>45382</v>
      </c>
      <c r="H1888" s="2">
        <v>44378</v>
      </c>
    </row>
    <row r="1889" spans="1:8" hidden="1" x14ac:dyDescent="0.45">
      <c r="A1889">
        <v>1887</v>
      </c>
      <c r="B1889" t="s">
        <v>7</v>
      </c>
      <c r="C1889" s="3">
        <v>978844.44474388601</v>
      </c>
      <c r="D1889" s="3">
        <v>700449.31</v>
      </c>
      <c r="E1889" s="3">
        <v>651341.17783135897</v>
      </c>
      <c r="F1889" s="3">
        <v>1318196.9624344399</v>
      </c>
      <c r="G1889" s="1">
        <v>45382</v>
      </c>
      <c r="H1889" s="2">
        <v>44409</v>
      </c>
    </row>
    <row r="1890" spans="1:8" hidden="1" x14ac:dyDescent="0.45">
      <c r="A1890">
        <v>1888</v>
      </c>
      <c r="B1890" t="s">
        <v>7</v>
      </c>
      <c r="C1890" s="3">
        <v>1043274.35669681</v>
      </c>
      <c r="D1890" s="3">
        <v>1784906.52</v>
      </c>
      <c r="E1890" s="3">
        <v>692766.87529677094</v>
      </c>
      <c r="F1890" s="3">
        <v>1415784.72794167</v>
      </c>
      <c r="G1890" s="1">
        <v>45382</v>
      </c>
      <c r="H1890" s="2">
        <v>44440</v>
      </c>
    </row>
    <row r="1891" spans="1:8" hidden="1" x14ac:dyDescent="0.45">
      <c r="A1891">
        <v>1889</v>
      </c>
      <c r="B1891" t="s">
        <v>7</v>
      </c>
      <c r="C1891" s="3">
        <v>945721.17818417505</v>
      </c>
      <c r="D1891" s="3">
        <v>706422.77</v>
      </c>
      <c r="E1891" s="3">
        <v>618402.12039828894</v>
      </c>
      <c r="F1891" s="3">
        <v>1300088.19543407</v>
      </c>
      <c r="G1891" s="1">
        <v>45382</v>
      </c>
      <c r="H1891" s="2">
        <v>44470</v>
      </c>
    </row>
    <row r="1892" spans="1:8" hidden="1" x14ac:dyDescent="0.45">
      <c r="A1892">
        <v>1890</v>
      </c>
      <c r="B1892" t="s">
        <v>7</v>
      </c>
      <c r="C1892" s="3">
        <v>1998770.81770196</v>
      </c>
      <c r="D1892" s="3">
        <v>3115611.92</v>
      </c>
      <c r="E1892" s="3">
        <v>1438765.93538547</v>
      </c>
      <c r="F1892" s="3">
        <v>2577624.7170446799</v>
      </c>
      <c r="G1892" s="1">
        <v>45382</v>
      </c>
      <c r="H1892" s="2">
        <v>44501</v>
      </c>
    </row>
    <row r="1893" spans="1:8" hidden="1" x14ac:dyDescent="0.45">
      <c r="A1893">
        <v>1891</v>
      </c>
      <c r="B1893" t="s">
        <v>7</v>
      </c>
      <c r="C1893" s="3">
        <v>801450.56854361703</v>
      </c>
      <c r="D1893" s="3">
        <v>227049.91</v>
      </c>
      <c r="E1893" s="3">
        <v>471405.08686141297</v>
      </c>
      <c r="F1893" s="3">
        <v>1170845.7070886199</v>
      </c>
      <c r="G1893" s="1">
        <v>45382</v>
      </c>
      <c r="H1893" s="2">
        <v>44531</v>
      </c>
    </row>
    <row r="1894" spans="1:8" hidden="1" x14ac:dyDescent="0.45">
      <c r="A1894">
        <v>1892</v>
      </c>
      <c r="B1894" t="s">
        <v>7</v>
      </c>
      <c r="C1894" s="3">
        <v>1277059.3093177499</v>
      </c>
      <c r="D1894" s="3">
        <v>1231496.1499999999</v>
      </c>
      <c r="E1894" s="3">
        <v>833757.73458386795</v>
      </c>
      <c r="F1894" s="3">
        <v>1757533.7754647301</v>
      </c>
      <c r="G1894" s="1">
        <v>45382</v>
      </c>
      <c r="H1894" s="2">
        <v>44562</v>
      </c>
    </row>
    <row r="1895" spans="1:8" hidden="1" x14ac:dyDescent="0.45">
      <c r="A1895">
        <v>1893</v>
      </c>
      <c r="B1895" t="s">
        <v>7</v>
      </c>
      <c r="C1895" s="3">
        <v>1047889.96236703</v>
      </c>
      <c r="D1895" s="3">
        <v>1031231.86</v>
      </c>
      <c r="E1895" s="3">
        <v>658453.34805583104</v>
      </c>
      <c r="F1895" s="3">
        <v>1467250.7390705899</v>
      </c>
      <c r="G1895" s="1">
        <v>45382</v>
      </c>
      <c r="H1895" s="2">
        <v>44593</v>
      </c>
    </row>
    <row r="1896" spans="1:8" hidden="1" x14ac:dyDescent="0.45">
      <c r="A1896">
        <v>1894</v>
      </c>
      <c r="B1896" t="s">
        <v>7</v>
      </c>
      <c r="C1896" s="3">
        <v>1648036.6706521499</v>
      </c>
      <c r="D1896" s="3">
        <v>2866780.02</v>
      </c>
      <c r="E1896" s="3">
        <v>1069983.4046196099</v>
      </c>
      <c r="F1896" s="3">
        <v>2246578.9229187998</v>
      </c>
      <c r="G1896" s="1">
        <v>45382</v>
      </c>
      <c r="H1896" s="2">
        <v>44621</v>
      </c>
    </row>
    <row r="1897" spans="1:8" hidden="1" x14ac:dyDescent="0.45">
      <c r="A1897">
        <v>1895</v>
      </c>
      <c r="B1897" t="s">
        <v>7</v>
      </c>
      <c r="C1897" s="3">
        <v>890154.08181211504</v>
      </c>
      <c r="D1897" s="3">
        <v>106305.83</v>
      </c>
      <c r="E1897" s="3">
        <v>489583.50619042001</v>
      </c>
      <c r="F1897" s="3">
        <v>1325949.1684657999</v>
      </c>
      <c r="G1897" s="1">
        <v>45382</v>
      </c>
      <c r="H1897" s="2">
        <v>44652</v>
      </c>
    </row>
    <row r="1898" spans="1:8" hidden="1" x14ac:dyDescent="0.45">
      <c r="A1898">
        <v>1896</v>
      </c>
      <c r="B1898" t="s">
        <v>7</v>
      </c>
      <c r="C1898" s="3">
        <v>1139942.3567923901</v>
      </c>
      <c r="D1898" s="3">
        <v>667164.73</v>
      </c>
      <c r="E1898" s="3">
        <v>677600.34179650305</v>
      </c>
      <c r="F1898" s="3">
        <v>1636115.59435111</v>
      </c>
      <c r="G1898" s="1">
        <v>45382</v>
      </c>
      <c r="H1898" s="2">
        <v>44682</v>
      </c>
    </row>
    <row r="1899" spans="1:8" hidden="1" x14ac:dyDescent="0.45">
      <c r="A1899">
        <v>1897</v>
      </c>
      <c r="B1899" t="s">
        <v>7</v>
      </c>
      <c r="C1899" s="3">
        <v>1294811.9736800599</v>
      </c>
      <c r="D1899" s="3">
        <v>1398761.09</v>
      </c>
      <c r="E1899" s="3">
        <v>808893.61356120999</v>
      </c>
      <c r="F1899" s="3">
        <v>1822375.66333248</v>
      </c>
      <c r="G1899" s="1">
        <v>45382</v>
      </c>
      <c r="H1899" s="2">
        <v>44713</v>
      </c>
    </row>
    <row r="1900" spans="1:8" hidden="1" x14ac:dyDescent="0.45">
      <c r="A1900">
        <v>1898</v>
      </c>
      <c r="B1900" t="s">
        <v>7</v>
      </c>
      <c r="C1900" s="3">
        <v>1437138.30615211</v>
      </c>
      <c r="D1900" s="3">
        <v>931475.54</v>
      </c>
      <c r="E1900" s="3">
        <v>895559.83958012296</v>
      </c>
      <c r="F1900" s="3">
        <v>1989948.3342216499</v>
      </c>
      <c r="G1900" s="1">
        <v>45382</v>
      </c>
      <c r="H1900" s="2">
        <v>44743</v>
      </c>
    </row>
    <row r="1901" spans="1:8" hidden="1" x14ac:dyDescent="0.45">
      <c r="A1901">
        <v>1899</v>
      </c>
      <c r="B1901" t="s">
        <v>7</v>
      </c>
      <c r="C1901" s="3">
        <v>1302755.8157033001</v>
      </c>
      <c r="D1901" s="3">
        <v>1335916.6499999999</v>
      </c>
      <c r="E1901" s="3">
        <v>815495.23702425498</v>
      </c>
      <c r="F1901" s="3">
        <v>1827839.2785370699</v>
      </c>
      <c r="G1901" s="1">
        <v>45382</v>
      </c>
      <c r="H1901" s="2">
        <v>44774</v>
      </c>
    </row>
    <row r="1902" spans="1:8" hidden="1" x14ac:dyDescent="0.45">
      <c r="A1902">
        <v>1900</v>
      </c>
      <c r="B1902" t="s">
        <v>7</v>
      </c>
      <c r="C1902" s="3">
        <v>1244373.06788156</v>
      </c>
      <c r="D1902" s="3">
        <v>976647.27</v>
      </c>
      <c r="E1902" s="3">
        <v>752900.40904911095</v>
      </c>
      <c r="F1902" s="3">
        <v>1784281.6107022599</v>
      </c>
      <c r="G1902" s="1">
        <v>45382</v>
      </c>
      <c r="H1902" s="2">
        <v>44805</v>
      </c>
    </row>
    <row r="1903" spans="1:8" hidden="1" x14ac:dyDescent="0.45">
      <c r="A1903">
        <v>1901</v>
      </c>
      <c r="B1903" t="s">
        <v>7</v>
      </c>
      <c r="C1903" s="3">
        <v>1057611.1651159599</v>
      </c>
      <c r="D1903" s="3">
        <v>975982.86</v>
      </c>
      <c r="E1903" s="3">
        <v>639772.18504979101</v>
      </c>
      <c r="F1903" s="3">
        <v>1507445.8304815199</v>
      </c>
      <c r="G1903" s="1">
        <v>45382</v>
      </c>
      <c r="H1903" s="2">
        <v>44835</v>
      </c>
    </row>
    <row r="1904" spans="1:8" hidden="1" x14ac:dyDescent="0.45">
      <c r="A1904">
        <v>1902</v>
      </c>
      <c r="B1904" t="s">
        <v>7</v>
      </c>
      <c r="C1904" s="3">
        <v>2241696.7544481899</v>
      </c>
      <c r="D1904" s="3">
        <v>2010415.16</v>
      </c>
      <c r="E1904" s="3">
        <v>1499557.9063577901</v>
      </c>
      <c r="F1904" s="3">
        <v>3028197.8777427101</v>
      </c>
      <c r="G1904" s="1">
        <v>45382</v>
      </c>
      <c r="H1904" s="2">
        <v>44866</v>
      </c>
    </row>
    <row r="1905" spans="1:8" hidden="1" x14ac:dyDescent="0.45">
      <c r="A1905">
        <v>1903</v>
      </c>
      <c r="B1905" t="s">
        <v>7</v>
      </c>
      <c r="C1905" s="3">
        <v>786482.17588677199</v>
      </c>
      <c r="D1905" s="3">
        <v>348929.42</v>
      </c>
      <c r="E1905" s="3">
        <v>438494.690185513</v>
      </c>
      <c r="F1905" s="3">
        <v>1163967.51679515</v>
      </c>
      <c r="G1905" s="1">
        <v>45382</v>
      </c>
      <c r="H1905" s="2">
        <v>44896</v>
      </c>
    </row>
    <row r="1906" spans="1:8" hidden="1" x14ac:dyDescent="0.45">
      <c r="A1906">
        <v>1904</v>
      </c>
      <c r="B1906" t="s">
        <v>7</v>
      </c>
      <c r="C1906" s="3">
        <v>1195639.8049739101</v>
      </c>
      <c r="D1906" s="3">
        <v>1096298.6399999999</v>
      </c>
      <c r="E1906" s="3">
        <v>739916.46268195403</v>
      </c>
      <c r="F1906" s="3">
        <v>1689341.1447186801</v>
      </c>
      <c r="G1906" s="1">
        <v>45382</v>
      </c>
      <c r="H1906" s="2">
        <v>44927</v>
      </c>
    </row>
    <row r="1907" spans="1:8" hidden="1" x14ac:dyDescent="0.45">
      <c r="A1907">
        <v>1905</v>
      </c>
      <c r="B1907" t="s">
        <v>7</v>
      </c>
      <c r="C1907" s="3">
        <v>992119.72922107601</v>
      </c>
      <c r="D1907" s="3">
        <v>1036928.47</v>
      </c>
      <c r="E1907" s="3">
        <v>583445.16518877505</v>
      </c>
      <c r="F1907" s="3">
        <v>1423037.17000203</v>
      </c>
      <c r="G1907" s="1">
        <v>45382</v>
      </c>
      <c r="H1907" s="2">
        <v>44958</v>
      </c>
    </row>
    <row r="1908" spans="1:8" hidden="1" x14ac:dyDescent="0.45">
      <c r="A1908">
        <v>1906</v>
      </c>
      <c r="B1908" t="s">
        <v>7</v>
      </c>
      <c r="C1908" s="3">
        <v>1389831.6683733</v>
      </c>
      <c r="D1908" s="3">
        <v>660363.89</v>
      </c>
      <c r="E1908" s="3">
        <v>863412.90656460705</v>
      </c>
      <c r="F1908" s="3">
        <v>1951966.9304412201</v>
      </c>
      <c r="G1908" s="1">
        <v>45382</v>
      </c>
      <c r="H1908" s="2">
        <v>44986</v>
      </c>
    </row>
    <row r="1909" spans="1:8" hidden="1" x14ac:dyDescent="0.45">
      <c r="A1909">
        <v>1907</v>
      </c>
      <c r="B1909" t="s">
        <v>7</v>
      </c>
      <c r="C1909" s="3">
        <v>780747.66390014195</v>
      </c>
      <c r="D1909" s="3">
        <v>1093282.48</v>
      </c>
      <c r="E1909" s="3">
        <v>413032.42638251802</v>
      </c>
      <c r="F1909" s="3">
        <v>1177203.4728083401</v>
      </c>
      <c r="G1909" s="1">
        <v>45382</v>
      </c>
      <c r="H1909" s="2">
        <v>45017</v>
      </c>
    </row>
    <row r="1910" spans="1:8" hidden="1" x14ac:dyDescent="0.45">
      <c r="A1910">
        <v>1908</v>
      </c>
      <c r="B1910" t="s">
        <v>7</v>
      </c>
      <c r="C1910" s="3">
        <v>1039128.30553588</v>
      </c>
      <c r="D1910" s="3">
        <v>1212297.6200000001</v>
      </c>
      <c r="E1910" s="3">
        <v>589890.74960618396</v>
      </c>
      <c r="F1910" s="3">
        <v>1531829.90195015</v>
      </c>
      <c r="G1910" s="1">
        <v>45382</v>
      </c>
      <c r="H1910" s="2">
        <v>45047</v>
      </c>
    </row>
    <row r="1911" spans="1:8" hidden="1" x14ac:dyDescent="0.45">
      <c r="A1911">
        <v>1909</v>
      </c>
      <c r="B1911" t="s">
        <v>7</v>
      </c>
      <c r="C1911" s="3">
        <v>1121272.0969908</v>
      </c>
      <c r="D1911" s="3">
        <v>1041503.83</v>
      </c>
      <c r="E1911" s="3">
        <v>662290.227994591</v>
      </c>
      <c r="F1911" s="3">
        <v>1631193.20697127</v>
      </c>
      <c r="G1911" s="1">
        <v>45382</v>
      </c>
      <c r="H1911" s="2">
        <v>45078</v>
      </c>
    </row>
    <row r="1912" spans="1:8" hidden="1" x14ac:dyDescent="0.45">
      <c r="A1912">
        <v>1910</v>
      </c>
      <c r="B1912" t="s">
        <v>7</v>
      </c>
      <c r="C1912" s="3">
        <v>1240796.24969642</v>
      </c>
      <c r="D1912" s="3">
        <v>1103446</v>
      </c>
      <c r="E1912" s="3">
        <v>737805.34953009197</v>
      </c>
      <c r="F1912" s="3">
        <v>1787984.6762978099</v>
      </c>
      <c r="G1912" s="1">
        <v>45382</v>
      </c>
      <c r="H1912" s="2">
        <v>45108</v>
      </c>
    </row>
    <row r="1913" spans="1:8" hidden="1" x14ac:dyDescent="0.45">
      <c r="A1913">
        <v>1911</v>
      </c>
      <c r="B1913" t="s">
        <v>7</v>
      </c>
      <c r="C1913" s="3">
        <v>1192115.41298158</v>
      </c>
      <c r="D1913" s="3">
        <v>1157502.68</v>
      </c>
      <c r="E1913" s="3">
        <v>707485.86104797397</v>
      </c>
      <c r="F1913" s="3">
        <v>1718910.81435548</v>
      </c>
      <c r="G1913" s="1">
        <v>45382</v>
      </c>
      <c r="H1913" s="2">
        <v>45139</v>
      </c>
    </row>
    <row r="1914" spans="1:8" hidden="1" x14ac:dyDescent="0.45">
      <c r="A1914">
        <v>1912</v>
      </c>
      <c r="B1914" t="s">
        <v>7</v>
      </c>
      <c r="C1914" s="3">
        <v>1156560.2101119801</v>
      </c>
      <c r="D1914" s="3">
        <v>1330269.6499999999</v>
      </c>
      <c r="E1914" s="3">
        <v>670689.07720596006</v>
      </c>
      <c r="F1914" s="3">
        <v>1677399.83192772</v>
      </c>
      <c r="G1914" s="1">
        <v>45382</v>
      </c>
      <c r="H1914" s="2">
        <v>45170</v>
      </c>
    </row>
    <row r="1915" spans="1:8" hidden="1" x14ac:dyDescent="0.45">
      <c r="A1915">
        <v>1913</v>
      </c>
      <c r="B1915" t="s">
        <v>7</v>
      </c>
      <c r="C1915" s="3">
        <v>1017539.96234719</v>
      </c>
      <c r="D1915" s="3">
        <v>1219536.81</v>
      </c>
      <c r="E1915" s="3">
        <v>575935.98992674297</v>
      </c>
      <c r="F1915" s="3">
        <v>1494040.4744647699</v>
      </c>
      <c r="G1915" s="1">
        <v>45382</v>
      </c>
      <c r="H1915" s="2">
        <v>45200</v>
      </c>
    </row>
    <row r="1916" spans="1:8" hidden="1" x14ac:dyDescent="0.45">
      <c r="A1916">
        <v>1914</v>
      </c>
      <c r="B1916" t="s">
        <v>7</v>
      </c>
      <c r="C1916" s="3">
        <v>2071622.59570918</v>
      </c>
      <c r="D1916" s="3">
        <v>2038136.91</v>
      </c>
      <c r="E1916" s="3">
        <v>1316303.7679989701</v>
      </c>
      <c r="F1916" s="3">
        <v>2895673.4314306001</v>
      </c>
      <c r="G1916" s="1">
        <v>45382</v>
      </c>
      <c r="H1916" s="2">
        <v>45231</v>
      </c>
    </row>
    <row r="1917" spans="1:8" hidden="1" x14ac:dyDescent="0.45">
      <c r="A1917">
        <v>1915</v>
      </c>
      <c r="B1917" t="s">
        <v>7</v>
      </c>
      <c r="C1917" s="3">
        <v>799982.587212021</v>
      </c>
      <c r="D1917" s="3">
        <v>950044.03</v>
      </c>
      <c r="E1917" s="3">
        <v>422625.23341652902</v>
      </c>
      <c r="F1917" s="3">
        <v>1212583.4396979499</v>
      </c>
      <c r="G1917" s="1">
        <v>45382</v>
      </c>
      <c r="H1917" s="2">
        <v>45261</v>
      </c>
    </row>
    <row r="1918" spans="1:8" hidden="1" x14ac:dyDescent="0.45">
      <c r="A1918">
        <v>1916</v>
      </c>
      <c r="B1918" t="s">
        <v>7</v>
      </c>
      <c r="C1918" s="3">
        <v>1199725.9095268601</v>
      </c>
      <c r="D1918" s="3">
        <v>1410224.61</v>
      </c>
      <c r="E1918" s="3">
        <v>703342.52689899795</v>
      </c>
      <c r="F1918" s="3">
        <v>1743368.06999121</v>
      </c>
      <c r="G1918" s="1">
        <v>45382</v>
      </c>
      <c r="H1918" s="2">
        <v>45292</v>
      </c>
    </row>
    <row r="1919" spans="1:8" hidden="1" x14ac:dyDescent="0.45">
      <c r="A1919">
        <v>1917</v>
      </c>
      <c r="B1919" t="s">
        <v>7</v>
      </c>
      <c r="C1919" s="3">
        <v>1020391.64025084</v>
      </c>
      <c r="D1919" s="3">
        <v>1062970.03</v>
      </c>
      <c r="E1919" s="3">
        <v>569604.51634817605</v>
      </c>
      <c r="F1919" s="3">
        <v>1506007.74263</v>
      </c>
      <c r="G1919" s="1">
        <v>45382</v>
      </c>
      <c r="H1919" s="2">
        <v>45323</v>
      </c>
    </row>
    <row r="1920" spans="1:8" hidden="1" x14ac:dyDescent="0.45">
      <c r="A1920">
        <v>1918</v>
      </c>
      <c r="B1920" t="s">
        <v>7</v>
      </c>
      <c r="C1920" s="3">
        <v>1343295.9224789301</v>
      </c>
      <c r="D1920" s="3">
        <v>1085647</v>
      </c>
      <c r="E1920" s="3">
        <v>807244.43885878904</v>
      </c>
      <c r="F1920" s="3">
        <v>1929590.9308704</v>
      </c>
      <c r="G1920" s="1">
        <v>45382</v>
      </c>
      <c r="H1920" s="2">
        <v>45352</v>
      </c>
    </row>
    <row r="1921" spans="1:8" hidden="1" x14ac:dyDescent="0.45">
      <c r="A1921">
        <v>1919</v>
      </c>
      <c r="B1921" t="s">
        <v>8</v>
      </c>
      <c r="C1921" s="3">
        <v>810126.66598781897</v>
      </c>
      <c r="D1921" s="3">
        <v>1558110.54999999</v>
      </c>
      <c r="E1921" s="3">
        <v>403527.07930729701</v>
      </c>
      <c r="F1921" s="3">
        <v>1270872.5130984101</v>
      </c>
      <c r="G1921" s="1">
        <v>45382</v>
      </c>
      <c r="H1921" s="2">
        <v>45383</v>
      </c>
    </row>
    <row r="1922" spans="1:8" hidden="1" x14ac:dyDescent="0.45">
      <c r="A1922">
        <v>1920</v>
      </c>
      <c r="B1922" t="s">
        <v>8</v>
      </c>
      <c r="C1922" s="3">
        <v>1041900.65653204</v>
      </c>
      <c r="D1922" s="3">
        <v>890601.43999999901</v>
      </c>
      <c r="E1922" s="3">
        <v>550395.39328732202</v>
      </c>
      <c r="F1922" s="3">
        <v>1582184.3938626801</v>
      </c>
      <c r="G1922" s="1">
        <v>45382</v>
      </c>
      <c r="H1922" s="2">
        <v>45413</v>
      </c>
    </row>
    <row r="1923" spans="1:8" hidden="1" x14ac:dyDescent="0.45">
      <c r="A1923">
        <v>1921</v>
      </c>
      <c r="B1923" t="s">
        <v>8</v>
      </c>
      <c r="C1923" s="3">
        <v>1090632.90079708</v>
      </c>
      <c r="D1923" s="3">
        <v>857420.53999999899</v>
      </c>
      <c r="E1923" s="3">
        <v>590912.65460769203</v>
      </c>
      <c r="F1923" s="3">
        <v>1628339.6009990899</v>
      </c>
      <c r="G1923" s="1">
        <v>45382</v>
      </c>
      <c r="H1923" s="2">
        <v>45444</v>
      </c>
    </row>
    <row r="1924" spans="1:8" hidden="1" x14ac:dyDescent="0.45">
      <c r="A1924">
        <v>1922</v>
      </c>
      <c r="B1924" t="s">
        <v>8</v>
      </c>
      <c r="C1924" s="3">
        <v>1177544.77946329</v>
      </c>
      <c r="D1924" s="3">
        <v>967807.04</v>
      </c>
      <c r="E1924" s="3">
        <v>649238.16657531098</v>
      </c>
      <c r="F1924" s="3">
        <v>1733810.4974602701</v>
      </c>
      <c r="G1924" s="1">
        <v>45382</v>
      </c>
      <c r="H1924" s="2">
        <v>45474</v>
      </c>
    </row>
    <row r="1925" spans="1:8" hidden="1" x14ac:dyDescent="0.45">
      <c r="A1925">
        <v>1923</v>
      </c>
      <c r="B1925" t="s">
        <v>8</v>
      </c>
      <c r="C1925" s="3">
        <v>1140374.95390613</v>
      </c>
      <c r="D1925" s="3">
        <v>959563.78</v>
      </c>
      <c r="E1925" s="3">
        <v>633450.85745423601</v>
      </c>
      <c r="F1925" s="3">
        <v>1682847.4663469701</v>
      </c>
      <c r="G1925" s="1">
        <v>45382</v>
      </c>
      <c r="H1925" s="2">
        <v>45505</v>
      </c>
    </row>
    <row r="1926" spans="1:8" hidden="1" x14ac:dyDescent="0.45">
      <c r="A1926">
        <v>1924</v>
      </c>
      <c r="B1926" t="s">
        <v>8</v>
      </c>
      <c r="C1926" s="3">
        <v>1086579.25507762</v>
      </c>
      <c r="D1926" s="3">
        <v>1617518.49</v>
      </c>
      <c r="E1926" s="3">
        <v>599258.18249596294</v>
      </c>
      <c r="F1926" s="3">
        <v>1615274.90316595</v>
      </c>
      <c r="G1926" s="1">
        <v>45382</v>
      </c>
      <c r="H1926" s="2">
        <v>45536</v>
      </c>
    </row>
    <row r="1927" spans="1:8" hidden="1" x14ac:dyDescent="0.45">
      <c r="A1927">
        <v>1925</v>
      </c>
      <c r="B1927" t="s">
        <v>8</v>
      </c>
      <c r="C1927" s="3">
        <v>951125.2179697</v>
      </c>
      <c r="D1927" s="3">
        <v>617900.22999999905</v>
      </c>
      <c r="E1927" s="3">
        <v>496885.55503243901</v>
      </c>
      <c r="F1927" s="3">
        <v>1451916.2144366</v>
      </c>
      <c r="G1927" s="1">
        <v>45382</v>
      </c>
      <c r="H1927" s="2">
        <v>45566</v>
      </c>
    </row>
    <row r="1928" spans="1:8" hidden="1" x14ac:dyDescent="0.45">
      <c r="A1928">
        <v>1926</v>
      </c>
      <c r="B1928" t="s">
        <v>8</v>
      </c>
      <c r="C1928" s="3">
        <v>1860053.01395351</v>
      </c>
      <c r="D1928" s="3"/>
      <c r="E1928" s="3">
        <v>1103665.4908826801</v>
      </c>
      <c r="F1928" s="3">
        <v>2666724.6586533398</v>
      </c>
      <c r="G1928" s="1">
        <v>45382</v>
      </c>
      <c r="H1928" s="2">
        <v>45597</v>
      </c>
    </row>
    <row r="1929" spans="1:8" hidden="1" x14ac:dyDescent="0.45">
      <c r="A1929">
        <v>1927</v>
      </c>
      <c r="B1929" t="s">
        <v>8</v>
      </c>
      <c r="C1929" s="3">
        <v>704285.86631039204</v>
      </c>
      <c r="D1929" s="3"/>
      <c r="E1929" s="3">
        <v>351475.57168448699</v>
      </c>
      <c r="F1929" s="3">
        <v>1080388.22096647</v>
      </c>
      <c r="G1929" s="1">
        <v>45382</v>
      </c>
      <c r="H1929" s="2">
        <v>45627</v>
      </c>
    </row>
    <row r="1930" spans="1:8" hidden="1" x14ac:dyDescent="0.45">
      <c r="A1930">
        <v>1928</v>
      </c>
      <c r="B1930" t="s">
        <v>8</v>
      </c>
      <c r="C1930" s="3">
        <v>1028646.64513021</v>
      </c>
      <c r="D1930" s="3"/>
      <c r="E1930" s="3">
        <v>561348.77441880398</v>
      </c>
      <c r="F1930" s="3">
        <v>1542141.3448125899</v>
      </c>
      <c r="G1930" s="1">
        <v>45382</v>
      </c>
      <c r="H1930" s="2">
        <v>45658</v>
      </c>
    </row>
    <row r="1931" spans="1:8" hidden="1" x14ac:dyDescent="0.45">
      <c r="A1931">
        <v>1929</v>
      </c>
      <c r="B1931" t="s">
        <v>8</v>
      </c>
      <c r="C1931" s="3">
        <v>879993.83920028002</v>
      </c>
      <c r="D1931" s="3"/>
      <c r="E1931" s="3">
        <v>469586.01003214502</v>
      </c>
      <c r="F1931" s="3">
        <v>1330492.40996269</v>
      </c>
      <c r="G1931" s="1">
        <v>45382</v>
      </c>
      <c r="H1931" s="2">
        <v>45689</v>
      </c>
    </row>
    <row r="1932" spans="1:8" hidden="1" x14ac:dyDescent="0.45">
      <c r="A1932">
        <v>1930</v>
      </c>
      <c r="B1932" t="s">
        <v>8</v>
      </c>
      <c r="C1932" s="3">
        <v>1110111.83515621</v>
      </c>
      <c r="D1932" s="3"/>
      <c r="E1932" s="3">
        <v>635654.07042167895</v>
      </c>
      <c r="F1932" s="3">
        <v>1631240.07964443</v>
      </c>
      <c r="G1932" s="1">
        <v>45382</v>
      </c>
      <c r="H1932" s="2">
        <v>45717</v>
      </c>
    </row>
    <row r="1933" spans="1:8" hidden="1" x14ac:dyDescent="0.45">
      <c r="A1933">
        <v>1931</v>
      </c>
      <c r="B1933" t="s">
        <v>8</v>
      </c>
      <c r="C1933" s="3">
        <v>720176.14854273095</v>
      </c>
      <c r="D1933" s="3"/>
      <c r="E1933" s="3">
        <v>348110.12178216601</v>
      </c>
      <c r="F1933" s="3">
        <v>1150209.78289342</v>
      </c>
      <c r="G1933" s="1">
        <v>45382</v>
      </c>
      <c r="H1933" s="2">
        <v>45748</v>
      </c>
    </row>
    <row r="1934" spans="1:8" hidden="1" x14ac:dyDescent="0.45">
      <c r="A1934">
        <v>1932</v>
      </c>
      <c r="B1934" t="s">
        <v>8</v>
      </c>
      <c r="C1934" s="3">
        <v>939577.60427528899</v>
      </c>
      <c r="D1934" s="3"/>
      <c r="E1934" s="3">
        <v>479909.81100161601</v>
      </c>
      <c r="F1934" s="3">
        <v>1459901.6420155501</v>
      </c>
      <c r="G1934" s="1">
        <v>45382</v>
      </c>
      <c r="H1934" s="2">
        <v>45778</v>
      </c>
    </row>
    <row r="1935" spans="1:8" hidden="1" x14ac:dyDescent="0.45">
      <c r="A1935">
        <v>1933</v>
      </c>
      <c r="B1935" t="s">
        <v>8</v>
      </c>
      <c r="C1935" s="3">
        <v>995259.57684581401</v>
      </c>
      <c r="D1935" s="3"/>
      <c r="E1935" s="3">
        <v>528507.354641877</v>
      </c>
      <c r="F1935" s="3">
        <v>1509403.2763658999</v>
      </c>
      <c r="G1935" s="1">
        <v>45382</v>
      </c>
      <c r="H1935" s="2">
        <v>45809</v>
      </c>
    </row>
    <row r="1936" spans="1:8" hidden="1" x14ac:dyDescent="0.45">
      <c r="A1936">
        <v>1934</v>
      </c>
      <c r="B1936" t="s">
        <v>8</v>
      </c>
      <c r="C1936" s="3">
        <v>1080152.4171343499</v>
      </c>
      <c r="D1936" s="3"/>
      <c r="E1936" s="3">
        <v>586680.42599403998</v>
      </c>
      <c r="F1936" s="3">
        <v>1622178.46358301</v>
      </c>
      <c r="G1936" s="1">
        <v>45382</v>
      </c>
      <c r="H1936" s="2">
        <v>45839</v>
      </c>
    </row>
    <row r="1937" spans="1:8" hidden="1" x14ac:dyDescent="0.45">
      <c r="A1937">
        <v>1935</v>
      </c>
      <c r="B1937" t="s">
        <v>8</v>
      </c>
      <c r="C1937" s="3">
        <v>1071081.16750276</v>
      </c>
      <c r="D1937" s="3"/>
      <c r="E1937" s="3">
        <v>589418.08401822799</v>
      </c>
      <c r="F1937" s="3">
        <v>1593395.17287603</v>
      </c>
      <c r="G1937" s="1">
        <v>45382</v>
      </c>
      <c r="H1937" s="2">
        <v>45870</v>
      </c>
    </row>
    <row r="1938" spans="1:8" hidden="1" x14ac:dyDescent="0.45">
      <c r="A1938">
        <v>1936</v>
      </c>
      <c r="B1938" t="s">
        <v>8</v>
      </c>
      <c r="C1938" s="3">
        <v>1031717.50462945</v>
      </c>
      <c r="D1938" s="3"/>
      <c r="E1938" s="3">
        <v>562523.484664188</v>
      </c>
      <c r="F1938" s="3">
        <v>1539944.55341384</v>
      </c>
      <c r="G1938" s="1">
        <v>45382</v>
      </c>
      <c r="H1938" s="2">
        <v>45901</v>
      </c>
    </row>
    <row r="1939" spans="1:8" hidden="1" x14ac:dyDescent="0.45">
      <c r="A1939">
        <v>1937</v>
      </c>
      <c r="B1939" t="s">
        <v>8</v>
      </c>
      <c r="C1939" s="3">
        <v>911179.07975117199</v>
      </c>
      <c r="D1939" s="3"/>
      <c r="E1939" s="3">
        <v>474595.50226021098</v>
      </c>
      <c r="F1939" s="3">
        <v>1405995.4870728301</v>
      </c>
      <c r="G1939" s="1">
        <v>45382</v>
      </c>
      <c r="H1939" s="2">
        <v>45931</v>
      </c>
    </row>
    <row r="1940" spans="1:8" hidden="1" x14ac:dyDescent="0.45">
      <c r="A1940">
        <v>1938</v>
      </c>
      <c r="B1940" t="s">
        <v>7</v>
      </c>
      <c r="C1940" s="3">
        <v>125082.504488725</v>
      </c>
      <c r="D1940" s="3">
        <v>28250.62</v>
      </c>
      <c r="E1940" s="3">
        <v>73917.920543834203</v>
      </c>
      <c r="F1940" s="3">
        <v>175345.32234737099</v>
      </c>
      <c r="G1940" s="1">
        <v>45412</v>
      </c>
      <c r="H1940" s="2">
        <v>44228</v>
      </c>
    </row>
    <row r="1941" spans="1:8" hidden="1" x14ac:dyDescent="0.45">
      <c r="A1941">
        <v>1939</v>
      </c>
      <c r="B1941" t="s">
        <v>7</v>
      </c>
      <c r="C1941" s="3">
        <v>247496.777713758</v>
      </c>
      <c r="D1941" s="3">
        <v>36247.919999999998</v>
      </c>
      <c r="E1941" s="3">
        <v>163212.102701906</v>
      </c>
      <c r="F1941" s="3">
        <v>337149.41185593</v>
      </c>
      <c r="G1941" s="1">
        <v>45412</v>
      </c>
      <c r="H1941" s="2">
        <v>44256</v>
      </c>
    </row>
    <row r="1942" spans="1:8" hidden="1" x14ac:dyDescent="0.45">
      <c r="A1942">
        <v>1940</v>
      </c>
      <c r="B1942" t="s">
        <v>7</v>
      </c>
      <c r="C1942" s="3">
        <v>155961.035509643</v>
      </c>
      <c r="D1942" s="3">
        <v>14721.48</v>
      </c>
      <c r="E1942" s="3">
        <v>87684.489525148194</v>
      </c>
      <c r="F1942" s="3">
        <v>226031.35481985501</v>
      </c>
      <c r="G1942" s="1">
        <v>45412</v>
      </c>
      <c r="H1942" s="2">
        <v>44287</v>
      </c>
    </row>
    <row r="1943" spans="1:8" hidden="1" x14ac:dyDescent="0.45">
      <c r="A1943">
        <v>1941</v>
      </c>
      <c r="B1943" t="s">
        <v>7</v>
      </c>
      <c r="C1943" s="3">
        <v>202626.580578997</v>
      </c>
      <c r="D1943" s="3">
        <v>94346.71</v>
      </c>
      <c r="E1943" s="3">
        <v>127495.681579061</v>
      </c>
      <c r="F1943" s="3">
        <v>284819.73218753299</v>
      </c>
      <c r="G1943" s="1">
        <v>45412</v>
      </c>
      <c r="H1943" s="2">
        <v>44317</v>
      </c>
    </row>
    <row r="1944" spans="1:8" hidden="1" x14ac:dyDescent="0.45">
      <c r="A1944">
        <v>1942</v>
      </c>
      <c r="B1944" t="s">
        <v>7</v>
      </c>
      <c r="C1944" s="3">
        <v>393521.00280141301</v>
      </c>
      <c r="D1944" s="3">
        <v>970740.72</v>
      </c>
      <c r="E1944" s="3">
        <v>264098.72248525202</v>
      </c>
      <c r="F1944" s="3">
        <v>536860.50162070198</v>
      </c>
      <c r="G1944" s="1">
        <v>45412</v>
      </c>
      <c r="H1944" s="2">
        <v>44348</v>
      </c>
    </row>
    <row r="1945" spans="1:8" hidden="1" x14ac:dyDescent="0.45">
      <c r="A1945">
        <v>1943</v>
      </c>
      <c r="B1945" t="s">
        <v>7</v>
      </c>
      <c r="C1945" s="3">
        <v>905083.55512253405</v>
      </c>
      <c r="D1945" s="3">
        <v>1798271.24</v>
      </c>
      <c r="E1945" s="3">
        <v>611622.71700553095</v>
      </c>
      <c r="F1945" s="3">
        <v>1206632.3344231199</v>
      </c>
      <c r="G1945" s="1">
        <v>45412</v>
      </c>
      <c r="H1945" s="2">
        <v>44378</v>
      </c>
    </row>
    <row r="1946" spans="1:8" hidden="1" x14ac:dyDescent="0.45">
      <c r="A1946">
        <v>1944</v>
      </c>
      <c r="B1946" t="s">
        <v>7</v>
      </c>
      <c r="C1946" s="3">
        <v>974801.36442730494</v>
      </c>
      <c r="D1946" s="3">
        <v>700449.31</v>
      </c>
      <c r="E1946" s="3">
        <v>667303.51723838097</v>
      </c>
      <c r="F1946" s="3">
        <v>1307340.3166399701</v>
      </c>
      <c r="G1946" s="1">
        <v>45412</v>
      </c>
      <c r="H1946" s="2">
        <v>44409</v>
      </c>
    </row>
    <row r="1947" spans="1:8" hidden="1" x14ac:dyDescent="0.45">
      <c r="A1947">
        <v>1945</v>
      </c>
      <c r="B1947" t="s">
        <v>7</v>
      </c>
      <c r="C1947" s="3">
        <v>1030625.25285711</v>
      </c>
      <c r="D1947" s="3">
        <v>1784906.52</v>
      </c>
      <c r="E1947" s="3">
        <v>691262.09108513896</v>
      </c>
      <c r="F1947" s="3">
        <v>1396761.7444598</v>
      </c>
      <c r="G1947" s="1">
        <v>45412</v>
      </c>
      <c r="H1947" s="2">
        <v>44440</v>
      </c>
    </row>
    <row r="1948" spans="1:8" hidden="1" x14ac:dyDescent="0.45">
      <c r="A1948">
        <v>1946</v>
      </c>
      <c r="B1948" t="s">
        <v>7</v>
      </c>
      <c r="C1948" s="3">
        <v>944121.49257412495</v>
      </c>
      <c r="D1948" s="3">
        <v>706422.77</v>
      </c>
      <c r="E1948" s="3">
        <v>596439.25526068604</v>
      </c>
      <c r="F1948" s="3">
        <v>1297530.3839473</v>
      </c>
      <c r="G1948" s="1">
        <v>45412</v>
      </c>
      <c r="H1948" s="2">
        <v>44470</v>
      </c>
    </row>
    <row r="1949" spans="1:8" hidden="1" x14ac:dyDescent="0.45">
      <c r="A1949">
        <v>1947</v>
      </c>
      <c r="B1949" t="s">
        <v>7</v>
      </c>
      <c r="C1949" s="3">
        <v>1973143.38535864</v>
      </c>
      <c r="D1949" s="3">
        <v>3115611.92</v>
      </c>
      <c r="E1949" s="3">
        <v>1401243.27915591</v>
      </c>
      <c r="F1949" s="3">
        <v>2543920.2298757099</v>
      </c>
      <c r="G1949" s="1">
        <v>45412</v>
      </c>
      <c r="H1949" s="2">
        <v>44501</v>
      </c>
    </row>
    <row r="1950" spans="1:8" hidden="1" x14ac:dyDescent="0.45">
      <c r="A1950">
        <v>1948</v>
      </c>
      <c r="B1950" t="s">
        <v>7</v>
      </c>
      <c r="C1950" s="3">
        <v>798496.42851430795</v>
      </c>
      <c r="D1950" s="3">
        <v>227049.91</v>
      </c>
      <c r="E1950" s="3">
        <v>472767.13665160403</v>
      </c>
      <c r="F1950" s="3">
        <v>1156917.86122113</v>
      </c>
      <c r="G1950" s="1">
        <v>45412</v>
      </c>
      <c r="H1950" s="2">
        <v>44531</v>
      </c>
    </row>
    <row r="1951" spans="1:8" hidden="1" x14ac:dyDescent="0.45">
      <c r="A1951">
        <v>1949</v>
      </c>
      <c r="B1951" t="s">
        <v>7</v>
      </c>
      <c r="C1951" s="3">
        <v>1261732.68599487</v>
      </c>
      <c r="D1951" s="3">
        <v>1231496.1499999999</v>
      </c>
      <c r="E1951" s="3">
        <v>795050.784469684</v>
      </c>
      <c r="F1951" s="3">
        <v>1749177.2791836399</v>
      </c>
      <c r="G1951" s="1">
        <v>45412</v>
      </c>
      <c r="H1951" s="2">
        <v>44562</v>
      </c>
    </row>
    <row r="1952" spans="1:8" hidden="1" x14ac:dyDescent="0.45">
      <c r="A1952">
        <v>1950</v>
      </c>
      <c r="B1952" t="s">
        <v>7</v>
      </c>
      <c r="C1952" s="3">
        <v>1035479.38115583</v>
      </c>
      <c r="D1952" s="3">
        <v>1031231.86</v>
      </c>
      <c r="E1952" s="3">
        <v>645374.85801945301</v>
      </c>
      <c r="F1952" s="3">
        <v>1470962.90479195</v>
      </c>
      <c r="G1952" s="1">
        <v>45412</v>
      </c>
      <c r="H1952" s="2">
        <v>44593</v>
      </c>
    </row>
    <row r="1953" spans="1:8" hidden="1" x14ac:dyDescent="0.45">
      <c r="A1953">
        <v>1951</v>
      </c>
      <c r="B1953" t="s">
        <v>7</v>
      </c>
      <c r="C1953" s="3">
        <v>1625984.1116369499</v>
      </c>
      <c r="D1953" s="3">
        <v>2866780.02</v>
      </c>
      <c r="E1953" s="3">
        <v>1064792.4611551501</v>
      </c>
      <c r="F1953" s="3">
        <v>2253998.8994921702</v>
      </c>
      <c r="G1953" s="1">
        <v>45412</v>
      </c>
      <c r="H1953" s="2">
        <v>44621</v>
      </c>
    </row>
    <row r="1954" spans="1:8" hidden="1" x14ac:dyDescent="0.45">
      <c r="A1954">
        <v>1952</v>
      </c>
      <c r="B1954" t="s">
        <v>7</v>
      </c>
      <c r="C1954" s="3">
        <v>1036593.22135903</v>
      </c>
      <c r="D1954" s="3">
        <v>106305.83</v>
      </c>
      <c r="E1954" s="3">
        <v>618225.41410501499</v>
      </c>
      <c r="F1954" s="3">
        <v>1505052.7444551501</v>
      </c>
      <c r="G1954" s="1">
        <v>45412</v>
      </c>
      <c r="H1954" s="2">
        <v>44652</v>
      </c>
    </row>
    <row r="1955" spans="1:8" hidden="1" x14ac:dyDescent="0.45">
      <c r="A1955">
        <v>1953</v>
      </c>
      <c r="B1955" t="s">
        <v>7</v>
      </c>
      <c r="C1955" s="3">
        <v>1138153.86359225</v>
      </c>
      <c r="D1955" s="3">
        <v>667164.73</v>
      </c>
      <c r="E1955" s="3">
        <v>677823.37408345402</v>
      </c>
      <c r="F1955" s="3">
        <v>1617235.0796161899</v>
      </c>
      <c r="G1955" s="1">
        <v>45412</v>
      </c>
      <c r="H1955" s="2">
        <v>44682</v>
      </c>
    </row>
    <row r="1956" spans="1:8" hidden="1" x14ac:dyDescent="0.45">
      <c r="A1956">
        <v>1954</v>
      </c>
      <c r="B1956" t="s">
        <v>7</v>
      </c>
      <c r="C1956" s="3">
        <v>1286910.56739061</v>
      </c>
      <c r="D1956" s="3">
        <v>1398761.09</v>
      </c>
      <c r="E1956" s="3">
        <v>800645.44356601103</v>
      </c>
      <c r="F1956" s="3">
        <v>1819322.6717729301</v>
      </c>
      <c r="G1956" s="1">
        <v>45412</v>
      </c>
      <c r="H1956" s="2">
        <v>44713</v>
      </c>
    </row>
    <row r="1957" spans="1:8" hidden="1" x14ac:dyDescent="0.45">
      <c r="A1957">
        <v>1955</v>
      </c>
      <c r="B1957" t="s">
        <v>7</v>
      </c>
      <c r="C1957" s="3">
        <v>1422486.6256857901</v>
      </c>
      <c r="D1957" s="3">
        <v>931475.54</v>
      </c>
      <c r="E1957" s="3">
        <v>890730.26227264199</v>
      </c>
      <c r="F1957" s="3">
        <v>2015854.9369304399</v>
      </c>
      <c r="G1957" s="1">
        <v>45412</v>
      </c>
      <c r="H1957" s="2">
        <v>44743</v>
      </c>
    </row>
    <row r="1958" spans="1:8" hidden="1" x14ac:dyDescent="0.45">
      <c r="A1958">
        <v>1956</v>
      </c>
      <c r="B1958" t="s">
        <v>7</v>
      </c>
      <c r="C1958" s="3">
        <v>1273808.0239043201</v>
      </c>
      <c r="D1958" s="3">
        <v>1335916.6499999999</v>
      </c>
      <c r="E1958" s="3">
        <v>795200.39095630799</v>
      </c>
      <c r="F1958" s="3">
        <v>1794678.9132934399</v>
      </c>
      <c r="G1958" s="1">
        <v>45412</v>
      </c>
      <c r="H1958" s="2">
        <v>44774</v>
      </c>
    </row>
    <row r="1959" spans="1:8" hidden="1" x14ac:dyDescent="0.45">
      <c r="A1959">
        <v>1957</v>
      </c>
      <c r="B1959" t="s">
        <v>7</v>
      </c>
      <c r="C1959" s="3">
        <v>1226898.7500050699</v>
      </c>
      <c r="D1959" s="3">
        <v>976647.27</v>
      </c>
      <c r="E1959" s="3">
        <v>755780.99888594705</v>
      </c>
      <c r="F1959" s="3">
        <v>1738658.6596707399</v>
      </c>
      <c r="G1959" s="1">
        <v>45412</v>
      </c>
      <c r="H1959" s="2">
        <v>44805</v>
      </c>
    </row>
    <row r="1960" spans="1:8" hidden="1" x14ac:dyDescent="0.45">
      <c r="A1960">
        <v>1958</v>
      </c>
      <c r="B1960" t="s">
        <v>7</v>
      </c>
      <c r="C1960" s="3">
        <v>1053830.35554186</v>
      </c>
      <c r="D1960" s="3">
        <v>975982.86</v>
      </c>
      <c r="E1960" s="3">
        <v>628919.70926745504</v>
      </c>
      <c r="F1960" s="3">
        <v>1501210.9299246799</v>
      </c>
      <c r="G1960" s="1">
        <v>45412</v>
      </c>
      <c r="H1960" s="2">
        <v>44835</v>
      </c>
    </row>
    <row r="1961" spans="1:8" hidden="1" x14ac:dyDescent="0.45">
      <c r="A1961">
        <v>1959</v>
      </c>
      <c r="B1961" t="s">
        <v>7</v>
      </c>
      <c r="C1961" s="3">
        <v>2215036.5524434298</v>
      </c>
      <c r="D1961" s="3">
        <v>2010415.16</v>
      </c>
      <c r="E1961" s="3">
        <v>1481716.73719281</v>
      </c>
      <c r="F1961" s="3">
        <v>3009419.7429126198</v>
      </c>
      <c r="G1961" s="1">
        <v>45412</v>
      </c>
      <c r="H1961" s="2">
        <v>44866</v>
      </c>
    </row>
    <row r="1962" spans="1:8" hidden="1" x14ac:dyDescent="0.45">
      <c r="A1962">
        <v>1960</v>
      </c>
      <c r="B1962" t="s">
        <v>7</v>
      </c>
      <c r="C1962" s="3">
        <v>782254.63461870397</v>
      </c>
      <c r="D1962" s="3">
        <v>348929.42</v>
      </c>
      <c r="E1962" s="3">
        <v>447006.47548967</v>
      </c>
      <c r="F1962" s="3">
        <v>1147748.3426224799</v>
      </c>
      <c r="G1962" s="1">
        <v>45412</v>
      </c>
      <c r="H1962" s="2">
        <v>44896</v>
      </c>
    </row>
    <row r="1963" spans="1:8" hidden="1" x14ac:dyDescent="0.45">
      <c r="A1963">
        <v>1961</v>
      </c>
      <c r="B1963" t="s">
        <v>7</v>
      </c>
      <c r="C1963" s="3">
        <v>1207839.78202032</v>
      </c>
      <c r="D1963" s="3">
        <v>1096298.6399999999</v>
      </c>
      <c r="E1963" s="3">
        <v>734652.68463943899</v>
      </c>
      <c r="F1963" s="3">
        <v>1710494.49118425</v>
      </c>
      <c r="G1963" s="1">
        <v>45412</v>
      </c>
      <c r="H1963" s="2">
        <v>44927</v>
      </c>
    </row>
    <row r="1964" spans="1:8" hidden="1" x14ac:dyDescent="0.45">
      <c r="A1964">
        <v>1962</v>
      </c>
      <c r="B1964" t="s">
        <v>7</v>
      </c>
      <c r="C1964" s="3">
        <v>989673.26423582202</v>
      </c>
      <c r="D1964" s="3">
        <v>1036928.47</v>
      </c>
      <c r="E1964" s="3">
        <v>591252.50926961505</v>
      </c>
      <c r="F1964" s="3">
        <v>1412049.1605436599</v>
      </c>
      <c r="G1964" s="1">
        <v>45412</v>
      </c>
      <c r="H1964" s="2">
        <v>44958</v>
      </c>
    </row>
    <row r="1965" spans="1:8" hidden="1" x14ac:dyDescent="0.45">
      <c r="A1965">
        <v>1963</v>
      </c>
      <c r="B1965" t="s">
        <v>7</v>
      </c>
      <c r="C1965" s="3">
        <v>1393214.73419514</v>
      </c>
      <c r="D1965" s="3">
        <v>660363.89</v>
      </c>
      <c r="E1965" s="3">
        <v>861244.35121441295</v>
      </c>
      <c r="F1965" s="3">
        <v>1983137.2719417501</v>
      </c>
      <c r="G1965" s="1">
        <v>45412</v>
      </c>
      <c r="H1965" s="2">
        <v>44986</v>
      </c>
    </row>
    <row r="1966" spans="1:8" hidden="1" x14ac:dyDescent="0.45">
      <c r="A1966">
        <v>1964</v>
      </c>
      <c r="B1966" t="s">
        <v>7</v>
      </c>
      <c r="C1966" s="3">
        <v>943841.13170094998</v>
      </c>
      <c r="D1966" s="3">
        <v>1093282.48</v>
      </c>
      <c r="E1966" s="3">
        <v>549843.42479044304</v>
      </c>
      <c r="F1966" s="3">
        <v>1367131.6328278</v>
      </c>
      <c r="G1966" s="1">
        <v>45412</v>
      </c>
      <c r="H1966" s="2">
        <v>45017</v>
      </c>
    </row>
    <row r="1967" spans="1:8" hidden="1" x14ac:dyDescent="0.45">
      <c r="A1967">
        <v>1965</v>
      </c>
      <c r="B1967" t="s">
        <v>7</v>
      </c>
      <c r="C1967" s="3">
        <v>1047620.72782667</v>
      </c>
      <c r="D1967" s="3">
        <v>1212297.6200000001</v>
      </c>
      <c r="E1967" s="3">
        <v>612880.82135606697</v>
      </c>
      <c r="F1967" s="3">
        <v>1522965.4426614</v>
      </c>
      <c r="G1967" s="1">
        <v>45412</v>
      </c>
      <c r="H1967" s="2">
        <v>45047</v>
      </c>
    </row>
    <row r="1968" spans="1:8" hidden="1" x14ac:dyDescent="0.45">
      <c r="A1968">
        <v>1966</v>
      </c>
      <c r="B1968" t="s">
        <v>7</v>
      </c>
      <c r="C1968" s="3">
        <v>1153592.1475062999</v>
      </c>
      <c r="D1968" s="3">
        <v>1041503.83</v>
      </c>
      <c r="E1968" s="3">
        <v>696984.89349994599</v>
      </c>
      <c r="F1968" s="3">
        <v>1656055.79296038</v>
      </c>
      <c r="G1968" s="1">
        <v>45412</v>
      </c>
      <c r="H1968" s="2">
        <v>45078</v>
      </c>
    </row>
    <row r="1969" spans="1:8" hidden="1" x14ac:dyDescent="0.45">
      <c r="A1969">
        <v>1967</v>
      </c>
      <c r="B1969" t="s">
        <v>7</v>
      </c>
      <c r="C1969" s="3">
        <v>1275369.04277584</v>
      </c>
      <c r="D1969" s="3">
        <v>1103446</v>
      </c>
      <c r="E1969" s="3">
        <v>766032.84521124803</v>
      </c>
      <c r="F1969" s="3">
        <v>1846995.16407622</v>
      </c>
      <c r="G1969" s="1">
        <v>45412</v>
      </c>
      <c r="H1969" s="2">
        <v>45108</v>
      </c>
    </row>
    <row r="1970" spans="1:8" hidden="1" x14ac:dyDescent="0.45">
      <c r="A1970">
        <v>1968</v>
      </c>
      <c r="B1970" t="s">
        <v>7</v>
      </c>
      <c r="C1970" s="3">
        <v>1199373.53881968</v>
      </c>
      <c r="D1970" s="3">
        <v>1157502.68</v>
      </c>
      <c r="E1970" s="3">
        <v>712186.60770899698</v>
      </c>
      <c r="F1970" s="3">
        <v>1737829.9972762801</v>
      </c>
      <c r="G1970" s="1">
        <v>45412</v>
      </c>
      <c r="H1970" s="2">
        <v>45139</v>
      </c>
    </row>
    <row r="1971" spans="1:8" hidden="1" x14ac:dyDescent="0.45">
      <c r="A1971">
        <v>1969</v>
      </c>
      <c r="B1971" t="s">
        <v>7</v>
      </c>
      <c r="C1971" s="3">
        <v>1161564.35426901</v>
      </c>
      <c r="D1971" s="3">
        <v>1330269.6499999999</v>
      </c>
      <c r="E1971" s="3">
        <v>673463.86324752402</v>
      </c>
      <c r="F1971" s="3">
        <v>1688102.1023248001</v>
      </c>
      <c r="G1971" s="1">
        <v>45412</v>
      </c>
      <c r="H1971" s="2">
        <v>45170</v>
      </c>
    </row>
    <row r="1972" spans="1:8" hidden="1" x14ac:dyDescent="0.45">
      <c r="A1972">
        <v>1970</v>
      </c>
      <c r="B1972" t="s">
        <v>7</v>
      </c>
      <c r="C1972" s="3">
        <v>1043059.86120553</v>
      </c>
      <c r="D1972" s="3">
        <v>1219536.81</v>
      </c>
      <c r="E1972" s="3">
        <v>598374.27368690004</v>
      </c>
      <c r="F1972" s="3">
        <v>1528528.7988950701</v>
      </c>
      <c r="G1972" s="1">
        <v>45412</v>
      </c>
      <c r="H1972" s="2">
        <v>45200</v>
      </c>
    </row>
    <row r="1973" spans="1:8" hidden="1" x14ac:dyDescent="0.45">
      <c r="A1973">
        <v>1971</v>
      </c>
      <c r="B1973" t="s">
        <v>7</v>
      </c>
      <c r="C1973" s="3">
        <v>2130700.18831761</v>
      </c>
      <c r="D1973" s="3">
        <v>2038136.91</v>
      </c>
      <c r="E1973" s="3">
        <v>1353463.6279245799</v>
      </c>
      <c r="F1973" s="3">
        <v>2955687.7961283298</v>
      </c>
      <c r="G1973" s="1">
        <v>45412</v>
      </c>
      <c r="H1973" s="2">
        <v>45231</v>
      </c>
    </row>
    <row r="1974" spans="1:8" hidden="1" x14ac:dyDescent="0.45">
      <c r="A1974">
        <v>1972</v>
      </c>
      <c r="B1974" t="s">
        <v>7</v>
      </c>
      <c r="C1974" s="3">
        <v>822321.13407461904</v>
      </c>
      <c r="D1974" s="3">
        <v>950044.03</v>
      </c>
      <c r="E1974" s="3">
        <v>447580.49461696099</v>
      </c>
      <c r="F1974" s="3">
        <v>1224557.3607159399</v>
      </c>
      <c r="G1974" s="1">
        <v>45412</v>
      </c>
      <c r="H1974" s="2">
        <v>45261</v>
      </c>
    </row>
    <row r="1975" spans="1:8" hidden="1" x14ac:dyDescent="0.45">
      <c r="A1975">
        <v>1973</v>
      </c>
      <c r="B1975" t="s">
        <v>7</v>
      </c>
      <c r="C1975" s="3">
        <v>1272950.0479693101</v>
      </c>
      <c r="D1975" s="3">
        <v>1410224.61</v>
      </c>
      <c r="E1975" s="3">
        <v>743834.10064924299</v>
      </c>
      <c r="F1975" s="3">
        <v>1838402.8846084699</v>
      </c>
      <c r="G1975" s="1">
        <v>45412</v>
      </c>
      <c r="H1975" s="2">
        <v>45292</v>
      </c>
    </row>
    <row r="1976" spans="1:8" hidden="1" x14ac:dyDescent="0.45">
      <c r="A1976">
        <v>1974</v>
      </c>
      <c r="B1976" t="s">
        <v>7</v>
      </c>
      <c r="C1976" s="3">
        <v>1064787.08337702</v>
      </c>
      <c r="D1976" s="3">
        <v>1062970.03</v>
      </c>
      <c r="E1976" s="3">
        <v>605539.26817463699</v>
      </c>
      <c r="F1976" s="3">
        <v>1556272.51187358</v>
      </c>
      <c r="G1976" s="1">
        <v>45412</v>
      </c>
      <c r="H1976" s="2">
        <v>45323</v>
      </c>
    </row>
    <row r="1977" spans="1:8" hidden="1" x14ac:dyDescent="0.45">
      <c r="A1977">
        <v>1975</v>
      </c>
      <c r="B1977" t="s">
        <v>7</v>
      </c>
      <c r="C1977" s="3">
        <v>1420696.0880179901</v>
      </c>
      <c r="D1977" s="3">
        <v>1085647</v>
      </c>
      <c r="E1977" s="3">
        <v>853899.69149420399</v>
      </c>
      <c r="F1977" s="3">
        <v>2036251.7490773599</v>
      </c>
      <c r="G1977" s="1">
        <v>45412</v>
      </c>
      <c r="H1977" s="2">
        <v>45352</v>
      </c>
    </row>
    <row r="1978" spans="1:8" hidden="1" x14ac:dyDescent="0.45">
      <c r="A1978">
        <v>1976</v>
      </c>
      <c r="B1978" t="s">
        <v>7</v>
      </c>
      <c r="C1978" s="3">
        <v>1097697.4311120801</v>
      </c>
      <c r="D1978" s="3">
        <v>1633642.04</v>
      </c>
      <c r="E1978" s="3">
        <v>617862.98666230205</v>
      </c>
      <c r="F1978" s="3">
        <v>1620262.5983842199</v>
      </c>
      <c r="G1978" s="1">
        <v>45412</v>
      </c>
      <c r="H1978" s="2">
        <v>45383</v>
      </c>
    </row>
    <row r="1979" spans="1:8" hidden="1" x14ac:dyDescent="0.45">
      <c r="A1979">
        <v>1977</v>
      </c>
      <c r="B1979" t="s">
        <v>8</v>
      </c>
      <c r="C1979" s="3">
        <v>1157432.9957403101</v>
      </c>
      <c r="D1979" s="3">
        <v>925879.47</v>
      </c>
      <c r="E1979" s="3">
        <v>626476.85054394405</v>
      </c>
      <c r="F1979" s="3">
        <v>1739170.9400520099</v>
      </c>
      <c r="G1979" s="1">
        <v>45412</v>
      </c>
      <c r="H1979" s="2">
        <v>45413</v>
      </c>
    </row>
    <row r="1980" spans="1:8" hidden="1" x14ac:dyDescent="0.45">
      <c r="A1980">
        <v>1978</v>
      </c>
      <c r="B1980" t="s">
        <v>8</v>
      </c>
      <c r="C1980" s="3">
        <v>1213957.3794753901</v>
      </c>
      <c r="D1980" s="3">
        <v>882285.34</v>
      </c>
      <c r="E1980" s="3">
        <v>679338.58429938904</v>
      </c>
      <c r="F1980" s="3">
        <v>1787911.36596724</v>
      </c>
      <c r="G1980" s="1">
        <v>45412</v>
      </c>
      <c r="H1980" s="2">
        <v>45444</v>
      </c>
    </row>
    <row r="1981" spans="1:8" hidden="1" x14ac:dyDescent="0.45">
      <c r="A1981">
        <v>1979</v>
      </c>
      <c r="B1981" t="s">
        <v>8</v>
      </c>
      <c r="C1981" s="3">
        <v>1317740.0667486901</v>
      </c>
      <c r="D1981" s="3">
        <v>991432.03</v>
      </c>
      <c r="E1981" s="3">
        <v>727944.03197921498</v>
      </c>
      <c r="F1981" s="3">
        <v>1974334.3389636499</v>
      </c>
      <c r="G1981" s="1">
        <v>45412</v>
      </c>
      <c r="H1981" s="2">
        <v>45474</v>
      </c>
    </row>
    <row r="1982" spans="1:8" hidden="1" x14ac:dyDescent="0.45">
      <c r="A1982">
        <v>1980</v>
      </c>
      <c r="B1982" t="s">
        <v>8</v>
      </c>
      <c r="C1982" s="3">
        <v>1238162.0082694001</v>
      </c>
      <c r="D1982" s="3">
        <v>985765.18</v>
      </c>
      <c r="E1982" s="3">
        <v>686815.47612858098</v>
      </c>
      <c r="F1982" s="3">
        <v>1835612.7198870899</v>
      </c>
      <c r="G1982" s="1">
        <v>45412</v>
      </c>
      <c r="H1982" s="2">
        <v>45505</v>
      </c>
    </row>
    <row r="1983" spans="1:8" hidden="1" x14ac:dyDescent="0.45">
      <c r="A1983">
        <v>1981</v>
      </c>
      <c r="B1983" t="s">
        <v>8</v>
      </c>
      <c r="C1983" s="3">
        <v>1178682.76012796</v>
      </c>
      <c r="D1983" s="3">
        <v>1652143.41</v>
      </c>
      <c r="E1983" s="3">
        <v>649466.93022446602</v>
      </c>
      <c r="F1983" s="3">
        <v>1748867.5366757601</v>
      </c>
      <c r="G1983" s="1">
        <v>45412</v>
      </c>
      <c r="H1983" s="2">
        <v>45536</v>
      </c>
    </row>
    <row r="1984" spans="1:8" hidden="1" x14ac:dyDescent="0.45">
      <c r="A1984">
        <v>1982</v>
      </c>
      <c r="B1984" t="s">
        <v>8</v>
      </c>
      <c r="C1984" s="3">
        <v>1042287.9602337501</v>
      </c>
      <c r="D1984" s="3">
        <v>629567.01999999897</v>
      </c>
      <c r="E1984" s="3">
        <v>566162.81212634605</v>
      </c>
      <c r="F1984" s="3">
        <v>1554536.2198117001</v>
      </c>
      <c r="G1984" s="1">
        <v>45412</v>
      </c>
      <c r="H1984" s="2">
        <v>45566</v>
      </c>
    </row>
    <row r="1985" spans="1:8" hidden="1" x14ac:dyDescent="0.45">
      <c r="A1985">
        <v>1983</v>
      </c>
      <c r="B1985" t="s">
        <v>8</v>
      </c>
      <c r="C1985" s="3">
        <v>2045043.39156819</v>
      </c>
      <c r="D1985" s="3"/>
      <c r="E1985" s="3">
        <v>1215447.33425749</v>
      </c>
      <c r="F1985" s="3">
        <v>2937717.3597063799</v>
      </c>
      <c r="G1985" s="1">
        <v>45412</v>
      </c>
      <c r="H1985" s="2">
        <v>45597</v>
      </c>
    </row>
    <row r="1986" spans="1:8" hidden="1" x14ac:dyDescent="0.45">
      <c r="A1986">
        <v>1984</v>
      </c>
      <c r="B1986" t="s">
        <v>8</v>
      </c>
      <c r="C1986" s="3">
        <v>764305.74316267204</v>
      </c>
      <c r="D1986" s="3"/>
      <c r="E1986" s="3">
        <v>392976.96248608502</v>
      </c>
      <c r="F1986" s="3">
        <v>1165280.4574989399</v>
      </c>
      <c r="G1986" s="1">
        <v>45412</v>
      </c>
      <c r="H1986" s="2">
        <v>45627</v>
      </c>
    </row>
    <row r="1987" spans="1:8" hidden="1" x14ac:dyDescent="0.45">
      <c r="A1987">
        <v>1985</v>
      </c>
      <c r="B1987" t="s">
        <v>8</v>
      </c>
      <c r="C1987" s="3">
        <v>1166415.9678060999</v>
      </c>
      <c r="D1987" s="3"/>
      <c r="E1987" s="3">
        <v>642916.94213535101</v>
      </c>
      <c r="F1987" s="3">
        <v>1721304.44408787</v>
      </c>
      <c r="G1987" s="1">
        <v>45412</v>
      </c>
      <c r="H1987" s="2">
        <v>45658</v>
      </c>
    </row>
    <row r="1988" spans="1:8" hidden="1" x14ac:dyDescent="0.45">
      <c r="A1988">
        <v>1986</v>
      </c>
      <c r="B1988" t="s">
        <v>8</v>
      </c>
      <c r="C1988" s="3">
        <v>961051.19213461096</v>
      </c>
      <c r="D1988" s="3"/>
      <c r="E1988" s="3">
        <v>524481.43562875397</v>
      </c>
      <c r="F1988" s="3">
        <v>1424989.90342151</v>
      </c>
      <c r="G1988" s="1">
        <v>45412</v>
      </c>
      <c r="H1988" s="2">
        <v>45689</v>
      </c>
    </row>
    <row r="1989" spans="1:8" hidden="1" x14ac:dyDescent="0.45">
      <c r="A1989">
        <v>1987</v>
      </c>
      <c r="B1989" t="s">
        <v>8</v>
      </c>
      <c r="C1989" s="3">
        <v>1221256.15787675</v>
      </c>
      <c r="D1989" s="3"/>
      <c r="E1989" s="3">
        <v>686540.85797685396</v>
      </c>
      <c r="F1989" s="3">
        <v>1785269.37962293</v>
      </c>
      <c r="G1989" s="1">
        <v>45412</v>
      </c>
      <c r="H1989" s="2">
        <v>45717</v>
      </c>
    </row>
    <row r="1990" spans="1:8" hidden="1" x14ac:dyDescent="0.45">
      <c r="A1990">
        <v>1988</v>
      </c>
      <c r="B1990" t="s">
        <v>8</v>
      </c>
      <c r="C1990" s="3">
        <v>1001787.9858209901</v>
      </c>
      <c r="D1990" s="3"/>
      <c r="E1990" s="3">
        <v>536877.25410074205</v>
      </c>
      <c r="F1990" s="3">
        <v>1519888.1762774601</v>
      </c>
      <c r="G1990" s="1">
        <v>45412</v>
      </c>
      <c r="H1990" s="2">
        <v>45748</v>
      </c>
    </row>
    <row r="1991" spans="1:8" hidden="1" x14ac:dyDescent="0.45">
      <c r="A1991">
        <v>1989</v>
      </c>
      <c r="B1991" t="s">
        <v>8</v>
      </c>
      <c r="C1991" s="3">
        <v>1051798.7478694499</v>
      </c>
      <c r="D1991" s="3"/>
      <c r="E1991" s="3">
        <v>551149.27157124004</v>
      </c>
      <c r="F1991" s="3">
        <v>1621865.9993660401</v>
      </c>
      <c r="G1991" s="1">
        <v>45412</v>
      </c>
      <c r="H1991" s="2">
        <v>45778</v>
      </c>
    </row>
    <row r="1992" spans="1:8" hidden="1" x14ac:dyDescent="0.45">
      <c r="A1992">
        <v>1990</v>
      </c>
      <c r="B1992" t="s">
        <v>8</v>
      </c>
      <c r="C1992" s="3">
        <v>1118984.9915060699</v>
      </c>
      <c r="D1992" s="3"/>
      <c r="E1992" s="3">
        <v>609787.71497259196</v>
      </c>
      <c r="F1992" s="3">
        <v>1684144.5705408701</v>
      </c>
      <c r="G1992" s="1">
        <v>45412</v>
      </c>
      <c r="H1992" s="2">
        <v>45809</v>
      </c>
    </row>
    <row r="1993" spans="1:8" hidden="1" x14ac:dyDescent="0.45">
      <c r="A1993">
        <v>1991</v>
      </c>
      <c r="B1993" t="s">
        <v>8</v>
      </c>
      <c r="C1993" s="3">
        <v>1222352.86373822</v>
      </c>
      <c r="D1993" s="3"/>
      <c r="E1993" s="3">
        <v>653899.13355759904</v>
      </c>
      <c r="F1993" s="3">
        <v>1854423.8882308099</v>
      </c>
      <c r="G1993" s="1">
        <v>45412</v>
      </c>
      <c r="H1993" s="2">
        <v>45839</v>
      </c>
    </row>
    <row r="1994" spans="1:8" hidden="1" x14ac:dyDescent="0.45">
      <c r="A1994">
        <v>1992</v>
      </c>
      <c r="B1994" t="s">
        <v>8</v>
      </c>
      <c r="C1994" s="3">
        <v>1171931.2924303401</v>
      </c>
      <c r="D1994" s="3"/>
      <c r="E1994" s="3">
        <v>633403.455758914</v>
      </c>
      <c r="F1994" s="3">
        <v>1763714.36562016</v>
      </c>
      <c r="G1994" s="1">
        <v>45412</v>
      </c>
      <c r="H1994" s="2">
        <v>45870</v>
      </c>
    </row>
    <row r="1995" spans="1:8" hidden="1" x14ac:dyDescent="0.45">
      <c r="A1995">
        <v>1993</v>
      </c>
      <c r="B1995" t="s">
        <v>8</v>
      </c>
      <c r="C1995" s="3">
        <v>1124117.5511739</v>
      </c>
      <c r="D1995" s="3"/>
      <c r="E1995" s="3">
        <v>607999.34024463303</v>
      </c>
      <c r="F1995" s="3">
        <v>1687280.8402318</v>
      </c>
      <c r="G1995" s="1">
        <v>45412</v>
      </c>
      <c r="H1995" s="2">
        <v>45901</v>
      </c>
    </row>
    <row r="1996" spans="1:8" hidden="1" x14ac:dyDescent="0.45">
      <c r="A1996">
        <v>1994</v>
      </c>
      <c r="B1996" t="s">
        <v>8</v>
      </c>
      <c r="C1996" s="3">
        <v>1004816.30701162</v>
      </c>
      <c r="D1996" s="3"/>
      <c r="E1996" s="3">
        <v>540069.12423992599</v>
      </c>
      <c r="F1996" s="3">
        <v>1504876.6625610299</v>
      </c>
      <c r="G1996" s="1">
        <v>45412</v>
      </c>
      <c r="H1996" s="2">
        <v>45931</v>
      </c>
    </row>
    <row r="1997" spans="1:8" hidden="1" x14ac:dyDescent="0.45">
      <c r="A1997">
        <v>1995</v>
      </c>
      <c r="B1997" t="s">
        <v>7</v>
      </c>
      <c r="C1997" s="3">
        <v>127401.606915072</v>
      </c>
      <c r="D1997" s="3">
        <v>28250.62</v>
      </c>
      <c r="E1997" s="3">
        <v>79790.397205411893</v>
      </c>
      <c r="F1997" s="3">
        <v>180274.08353643501</v>
      </c>
      <c r="G1997" s="1">
        <v>45443</v>
      </c>
      <c r="H1997" s="2">
        <v>44228</v>
      </c>
    </row>
    <row r="1998" spans="1:8" hidden="1" x14ac:dyDescent="0.45">
      <c r="A1998">
        <v>1996</v>
      </c>
      <c r="B1998" t="s">
        <v>7</v>
      </c>
      <c r="C1998" s="3">
        <v>245593.54926501599</v>
      </c>
      <c r="D1998" s="3">
        <v>36247.919999999998</v>
      </c>
      <c r="E1998" s="3">
        <v>161406.80195809499</v>
      </c>
      <c r="F1998" s="3">
        <v>342848.82249250403</v>
      </c>
      <c r="G1998" s="1">
        <v>45443</v>
      </c>
      <c r="H1998" s="2">
        <v>44256</v>
      </c>
    </row>
    <row r="1999" spans="1:8" hidden="1" x14ac:dyDescent="0.45">
      <c r="A1999">
        <v>1997</v>
      </c>
      <c r="B1999" t="s">
        <v>7</v>
      </c>
      <c r="C1999" s="3">
        <v>155618.44265068701</v>
      </c>
      <c r="D1999" s="3">
        <v>14721.48</v>
      </c>
      <c r="E1999" s="3">
        <v>92710.271645571207</v>
      </c>
      <c r="F1999" s="3">
        <v>218264.01730786799</v>
      </c>
      <c r="G1999" s="1">
        <v>45443</v>
      </c>
      <c r="H1999" s="2">
        <v>44287</v>
      </c>
    </row>
    <row r="2000" spans="1:8" hidden="1" x14ac:dyDescent="0.45">
      <c r="A2000">
        <v>1998</v>
      </c>
      <c r="B2000" t="s">
        <v>7</v>
      </c>
      <c r="C2000" s="3">
        <v>198983.63440482999</v>
      </c>
      <c r="D2000" s="3">
        <v>94346.71</v>
      </c>
      <c r="E2000" s="3">
        <v>125848.737536245</v>
      </c>
      <c r="F2000" s="3">
        <v>286056.45903560601</v>
      </c>
      <c r="G2000" s="1">
        <v>45443</v>
      </c>
      <c r="H2000" s="2">
        <v>44317</v>
      </c>
    </row>
    <row r="2001" spans="1:8" hidden="1" x14ac:dyDescent="0.45">
      <c r="A2001">
        <v>1999</v>
      </c>
      <c r="B2001" t="s">
        <v>7</v>
      </c>
      <c r="C2001" s="3">
        <v>387599.49055256299</v>
      </c>
      <c r="D2001" s="3">
        <v>970740.72</v>
      </c>
      <c r="E2001" s="3">
        <v>246665.954496063</v>
      </c>
      <c r="F2001" s="3">
        <v>532983.713358087</v>
      </c>
      <c r="G2001" s="1">
        <v>45443</v>
      </c>
      <c r="H2001" s="2">
        <v>44348</v>
      </c>
    </row>
    <row r="2002" spans="1:8" hidden="1" x14ac:dyDescent="0.45">
      <c r="A2002">
        <v>2000</v>
      </c>
      <c r="B2002" t="s">
        <v>7</v>
      </c>
      <c r="C2002" s="3">
        <v>911727.59808052704</v>
      </c>
      <c r="D2002" s="3">
        <v>1798271.24</v>
      </c>
      <c r="E2002" s="3">
        <v>608745.367934298</v>
      </c>
      <c r="F2002" s="3">
        <v>1199575.3392596201</v>
      </c>
      <c r="G2002" s="1">
        <v>45443</v>
      </c>
      <c r="H2002" s="2">
        <v>44378</v>
      </c>
    </row>
    <row r="2003" spans="1:8" hidden="1" x14ac:dyDescent="0.45">
      <c r="A2003">
        <v>2001</v>
      </c>
      <c r="B2003" t="s">
        <v>7</v>
      </c>
      <c r="C2003" s="3">
        <v>980380.69547901605</v>
      </c>
      <c r="D2003" s="3">
        <v>700449.31</v>
      </c>
      <c r="E2003" s="3">
        <v>629366.62684969301</v>
      </c>
      <c r="F2003" s="3">
        <v>1321837.0935194001</v>
      </c>
      <c r="G2003" s="1">
        <v>45443</v>
      </c>
      <c r="H2003" s="2">
        <v>44409</v>
      </c>
    </row>
    <row r="2004" spans="1:8" hidden="1" x14ac:dyDescent="0.45">
      <c r="A2004">
        <v>2002</v>
      </c>
      <c r="B2004" t="s">
        <v>7</v>
      </c>
      <c r="C2004" s="3">
        <v>1023803.20902182</v>
      </c>
      <c r="D2004" s="3">
        <v>1784906.52</v>
      </c>
      <c r="E2004" s="3">
        <v>679565.80316881102</v>
      </c>
      <c r="F2004" s="3">
        <v>1393025.3669547399</v>
      </c>
      <c r="G2004" s="1">
        <v>45443</v>
      </c>
      <c r="H2004" s="2">
        <v>44440</v>
      </c>
    </row>
    <row r="2005" spans="1:8" hidden="1" x14ac:dyDescent="0.45">
      <c r="A2005">
        <v>2003</v>
      </c>
      <c r="B2005" t="s">
        <v>7</v>
      </c>
      <c r="C2005" s="3">
        <v>917890.45052067703</v>
      </c>
      <c r="D2005" s="3">
        <v>706422.77</v>
      </c>
      <c r="E2005" s="3">
        <v>579266.849269939</v>
      </c>
      <c r="F2005" s="3">
        <v>1290689.8143024</v>
      </c>
      <c r="G2005" s="1">
        <v>45443</v>
      </c>
      <c r="H2005" s="2">
        <v>44470</v>
      </c>
    </row>
    <row r="2006" spans="1:8" hidden="1" x14ac:dyDescent="0.45">
      <c r="A2006">
        <v>2004</v>
      </c>
      <c r="B2006" t="s">
        <v>7</v>
      </c>
      <c r="C2006" s="3">
        <v>1972376.35548229</v>
      </c>
      <c r="D2006" s="3">
        <v>3115611.92</v>
      </c>
      <c r="E2006" s="3">
        <v>1402309.7875387799</v>
      </c>
      <c r="F2006" s="3">
        <v>2526753.09859592</v>
      </c>
      <c r="G2006" s="1">
        <v>45443</v>
      </c>
      <c r="H2006" s="2">
        <v>44501</v>
      </c>
    </row>
    <row r="2007" spans="1:8" hidden="1" x14ac:dyDescent="0.45">
      <c r="A2007">
        <v>2005</v>
      </c>
      <c r="B2007" t="s">
        <v>7</v>
      </c>
      <c r="C2007" s="3">
        <v>801695.21071849705</v>
      </c>
      <c r="D2007" s="3">
        <v>227049.91</v>
      </c>
      <c r="E2007" s="3">
        <v>471327.12131693499</v>
      </c>
      <c r="F2007" s="3">
        <v>1152013.0948324599</v>
      </c>
      <c r="G2007" s="1">
        <v>45443</v>
      </c>
      <c r="H2007" s="2">
        <v>44531</v>
      </c>
    </row>
    <row r="2008" spans="1:8" hidden="1" x14ac:dyDescent="0.45">
      <c r="A2008">
        <v>2006</v>
      </c>
      <c r="B2008" t="s">
        <v>7</v>
      </c>
      <c r="C2008" s="3">
        <v>1263256.01618412</v>
      </c>
      <c r="D2008" s="3">
        <v>1231496.1499999999</v>
      </c>
      <c r="E2008" s="3">
        <v>814161.56800590002</v>
      </c>
      <c r="F2008" s="3">
        <v>1738482.4341645399</v>
      </c>
      <c r="G2008" s="1">
        <v>45443</v>
      </c>
      <c r="H2008" s="2">
        <v>44562</v>
      </c>
    </row>
    <row r="2009" spans="1:8" hidden="1" x14ac:dyDescent="0.45">
      <c r="A2009">
        <v>2007</v>
      </c>
      <c r="B2009" t="s">
        <v>7</v>
      </c>
      <c r="C2009" s="3">
        <v>1040003.8466572399</v>
      </c>
      <c r="D2009" s="3">
        <v>1031231.86</v>
      </c>
      <c r="E2009" s="3">
        <v>649922.92972120096</v>
      </c>
      <c r="F2009" s="3">
        <v>1477984.07647917</v>
      </c>
      <c r="G2009" s="1">
        <v>45443</v>
      </c>
      <c r="H2009" s="2">
        <v>44593</v>
      </c>
    </row>
    <row r="2010" spans="1:8" hidden="1" x14ac:dyDescent="0.45">
      <c r="A2010">
        <v>2008</v>
      </c>
      <c r="B2010" t="s">
        <v>7</v>
      </c>
      <c r="C2010" s="3">
        <v>1630223.7219912501</v>
      </c>
      <c r="D2010" s="3">
        <v>2866780.02</v>
      </c>
      <c r="E2010" s="3">
        <v>1060161.3162027299</v>
      </c>
      <c r="F2010" s="3">
        <v>2244311.06275158</v>
      </c>
      <c r="G2010" s="1">
        <v>45443</v>
      </c>
      <c r="H2010" s="2">
        <v>44621</v>
      </c>
    </row>
    <row r="2011" spans="1:8" hidden="1" x14ac:dyDescent="0.45">
      <c r="A2011">
        <v>2009</v>
      </c>
      <c r="B2011" t="s">
        <v>7</v>
      </c>
      <c r="C2011" s="3">
        <v>1025127.75723891</v>
      </c>
      <c r="D2011" s="3">
        <v>106305.83</v>
      </c>
      <c r="E2011" s="3">
        <v>620613.85149895702</v>
      </c>
      <c r="F2011" s="3">
        <v>1460032.2128681601</v>
      </c>
      <c r="G2011" s="1">
        <v>45443</v>
      </c>
      <c r="H2011" s="2">
        <v>44652</v>
      </c>
    </row>
    <row r="2012" spans="1:8" hidden="1" x14ac:dyDescent="0.45">
      <c r="A2012">
        <v>2010</v>
      </c>
      <c r="B2012" t="s">
        <v>7</v>
      </c>
      <c r="C2012" s="3">
        <v>1106034.5067201999</v>
      </c>
      <c r="D2012" s="3">
        <v>667164.73</v>
      </c>
      <c r="E2012" s="3">
        <v>676639.66436050099</v>
      </c>
      <c r="F2012" s="3">
        <v>1586952.7178760399</v>
      </c>
      <c r="G2012" s="1">
        <v>45443</v>
      </c>
      <c r="H2012" s="2">
        <v>44682</v>
      </c>
    </row>
    <row r="2013" spans="1:8" hidden="1" x14ac:dyDescent="0.45">
      <c r="A2013">
        <v>2011</v>
      </c>
      <c r="B2013" t="s">
        <v>7</v>
      </c>
      <c r="C2013" s="3">
        <v>1289316.5157260499</v>
      </c>
      <c r="D2013" s="3">
        <v>1398761.09</v>
      </c>
      <c r="E2013" s="3">
        <v>794331.11022751895</v>
      </c>
      <c r="F2013" s="3">
        <v>1801558.81035284</v>
      </c>
      <c r="G2013" s="1">
        <v>45443</v>
      </c>
      <c r="H2013" s="2">
        <v>44713</v>
      </c>
    </row>
    <row r="2014" spans="1:8" hidden="1" x14ac:dyDescent="0.45">
      <c r="A2014">
        <v>2012</v>
      </c>
      <c r="B2014" t="s">
        <v>7</v>
      </c>
      <c r="C2014" s="3">
        <v>1440409.1248280599</v>
      </c>
      <c r="D2014" s="3">
        <v>931475.54</v>
      </c>
      <c r="E2014" s="3">
        <v>893013.55207422201</v>
      </c>
      <c r="F2014" s="3">
        <v>2014801.3750988101</v>
      </c>
      <c r="G2014" s="1">
        <v>45443</v>
      </c>
      <c r="H2014" s="2">
        <v>44743</v>
      </c>
    </row>
    <row r="2015" spans="1:8" hidden="1" x14ac:dyDescent="0.45">
      <c r="A2015">
        <v>2013</v>
      </c>
      <c r="B2015" t="s">
        <v>7</v>
      </c>
      <c r="C2015" s="3">
        <v>1285457.6977317401</v>
      </c>
      <c r="D2015" s="3">
        <v>1335916.6499999999</v>
      </c>
      <c r="E2015" s="3">
        <v>787045.09595224902</v>
      </c>
      <c r="F2015" s="3">
        <v>1803109.64412745</v>
      </c>
      <c r="G2015" s="1">
        <v>45443</v>
      </c>
      <c r="H2015" s="2">
        <v>44774</v>
      </c>
    </row>
    <row r="2016" spans="1:8" hidden="1" x14ac:dyDescent="0.45">
      <c r="A2016">
        <v>2014</v>
      </c>
      <c r="B2016" t="s">
        <v>7</v>
      </c>
      <c r="C2016" s="3">
        <v>1243218.92749228</v>
      </c>
      <c r="D2016" s="3">
        <v>976647.27</v>
      </c>
      <c r="E2016" s="3">
        <v>741827.25103088305</v>
      </c>
      <c r="F2016" s="3">
        <v>1765742.75179623</v>
      </c>
      <c r="G2016" s="1">
        <v>45443</v>
      </c>
      <c r="H2016" s="2">
        <v>44805</v>
      </c>
    </row>
    <row r="2017" spans="1:8" hidden="1" x14ac:dyDescent="0.45">
      <c r="A2017">
        <v>2015</v>
      </c>
      <c r="B2017" t="s">
        <v>7</v>
      </c>
      <c r="C2017" s="3">
        <v>1046646.48169949</v>
      </c>
      <c r="D2017" s="3">
        <v>975982.86</v>
      </c>
      <c r="E2017" s="3">
        <v>617380.98612075998</v>
      </c>
      <c r="F2017" s="3">
        <v>1503908.0444941099</v>
      </c>
      <c r="G2017" s="1">
        <v>45443</v>
      </c>
      <c r="H2017" s="2">
        <v>44835</v>
      </c>
    </row>
    <row r="2018" spans="1:8" hidden="1" x14ac:dyDescent="0.45">
      <c r="A2018">
        <v>2016</v>
      </c>
      <c r="B2018" t="s">
        <v>7</v>
      </c>
      <c r="C2018" s="3">
        <v>2243144.8233174002</v>
      </c>
      <c r="D2018" s="3">
        <v>2010415.16</v>
      </c>
      <c r="E2018" s="3">
        <v>1479983.1979048599</v>
      </c>
      <c r="F2018" s="3">
        <v>3033666.2784031602</v>
      </c>
      <c r="G2018" s="1">
        <v>45443</v>
      </c>
      <c r="H2018" s="2">
        <v>44866</v>
      </c>
    </row>
    <row r="2019" spans="1:8" hidden="1" x14ac:dyDescent="0.45">
      <c r="A2019">
        <v>2017</v>
      </c>
      <c r="B2019" t="s">
        <v>7</v>
      </c>
      <c r="C2019" s="3">
        <v>787930.80990407104</v>
      </c>
      <c r="D2019" s="3">
        <v>348929.42</v>
      </c>
      <c r="E2019" s="3">
        <v>447088.88860018499</v>
      </c>
      <c r="F2019" s="3">
        <v>1148050.1752987199</v>
      </c>
      <c r="G2019" s="1">
        <v>45443</v>
      </c>
      <c r="H2019" s="2">
        <v>44896</v>
      </c>
    </row>
    <row r="2020" spans="1:8" hidden="1" x14ac:dyDescent="0.45">
      <c r="A2020">
        <v>2018</v>
      </c>
      <c r="B2020" t="s">
        <v>7</v>
      </c>
      <c r="C2020" s="3">
        <v>1198636.6495391801</v>
      </c>
      <c r="D2020" s="3">
        <v>1096298.6399999999</v>
      </c>
      <c r="E2020" s="3">
        <v>742300.14059945405</v>
      </c>
      <c r="F2020" s="3">
        <v>1690818.4021054599</v>
      </c>
      <c r="G2020" s="1">
        <v>45443</v>
      </c>
      <c r="H2020" s="2">
        <v>44927</v>
      </c>
    </row>
    <row r="2021" spans="1:8" hidden="1" x14ac:dyDescent="0.45">
      <c r="A2021">
        <v>2019</v>
      </c>
      <c r="B2021" t="s">
        <v>7</v>
      </c>
      <c r="C2021" s="3">
        <v>997854.75168208405</v>
      </c>
      <c r="D2021" s="3">
        <v>1036928.47</v>
      </c>
      <c r="E2021" s="3">
        <v>587480.49598193297</v>
      </c>
      <c r="F2021" s="3">
        <v>1425837.4161010501</v>
      </c>
      <c r="G2021" s="1">
        <v>45443</v>
      </c>
      <c r="H2021" s="2">
        <v>44958</v>
      </c>
    </row>
    <row r="2022" spans="1:8" hidden="1" x14ac:dyDescent="0.45">
      <c r="A2022">
        <v>2020</v>
      </c>
      <c r="B2022" t="s">
        <v>7</v>
      </c>
      <c r="C2022" s="3">
        <v>1400547.1482642</v>
      </c>
      <c r="D2022" s="3">
        <v>660363.89</v>
      </c>
      <c r="E2022" s="3">
        <v>868772.02597087994</v>
      </c>
      <c r="F2022" s="3">
        <v>1969302.7714009001</v>
      </c>
      <c r="G2022" s="1">
        <v>45443</v>
      </c>
      <c r="H2022" s="2">
        <v>44986</v>
      </c>
    </row>
    <row r="2023" spans="1:8" hidden="1" x14ac:dyDescent="0.45">
      <c r="A2023">
        <v>2021</v>
      </c>
      <c r="B2023" t="s">
        <v>7</v>
      </c>
      <c r="C2023" s="3">
        <v>942895.13914536603</v>
      </c>
      <c r="D2023" s="3">
        <v>1093282.48</v>
      </c>
      <c r="E2023" s="3">
        <v>556453.39868755196</v>
      </c>
      <c r="F2023" s="3">
        <v>1360071.81263991</v>
      </c>
      <c r="G2023" s="1">
        <v>45443</v>
      </c>
      <c r="H2023" s="2">
        <v>45017</v>
      </c>
    </row>
    <row r="2024" spans="1:8" hidden="1" x14ac:dyDescent="0.45">
      <c r="A2024">
        <v>2022</v>
      </c>
      <c r="B2024" t="s">
        <v>7</v>
      </c>
      <c r="C2024" s="3">
        <v>985811.70333593502</v>
      </c>
      <c r="D2024" s="3">
        <v>1212297.6200000001</v>
      </c>
      <c r="E2024" s="3">
        <v>590884.91971645702</v>
      </c>
      <c r="F2024" s="3">
        <v>1423731.28856613</v>
      </c>
      <c r="G2024" s="1">
        <v>45443</v>
      </c>
      <c r="H2024" s="2">
        <v>45047</v>
      </c>
    </row>
    <row r="2025" spans="1:8" hidden="1" x14ac:dyDescent="0.45">
      <c r="A2025">
        <v>2023</v>
      </c>
      <c r="B2025" t="s">
        <v>7</v>
      </c>
      <c r="C2025" s="3">
        <v>1137886.2415106101</v>
      </c>
      <c r="D2025" s="3">
        <v>1041503.83</v>
      </c>
      <c r="E2025" s="3">
        <v>681767.87073753902</v>
      </c>
      <c r="F2025" s="3">
        <v>1645314.26888505</v>
      </c>
      <c r="G2025" s="1">
        <v>45443</v>
      </c>
      <c r="H2025" s="2">
        <v>45078</v>
      </c>
    </row>
    <row r="2026" spans="1:8" hidden="1" x14ac:dyDescent="0.45">
      <c r="A2026">
        <v>2024</v>
      </c>
      <c r="B2026" t="s">
        <v>7</v>
      </c>
      <c r="C2026" s="3">
        <v>1265625.26937484</v>
      </c>
      <c r="D2026" s="3">
        <v>1103446</v>
      </c>
      <c r="E2026" s="3">
        <v>737253.66176023905</v>
      </c>
      <c r="F2026" s="3">
        <v>1817987.6360186499</v>
      </c>
      <c r="G2026" s="1">
        <v>45443</v>
      </c>
      <c r="H2026" s="2">
        <v>45108</v>
      </c>
    </row>
    <row r="2027" spans="1:8" hidden="1" x14ac:dyDescent="0.45">
      <c r="A2027">
        <v>2025</v>
      </c>
      <c r="B2027" t="s">
        <v>7</v>
      </c>
      <c r="C2027" s="3">
        <v>1212992.51110699</v>
      </c>
      <c r="D2027" s="3">
        <v>1157502.68</v>
      </c>
      <c r="E2027" s="3">
        <v>713945.10443291801</v>
      </c>
      <c r="F2027" s="3">
        <v>1760613.49387106</v>
      </c>
      <c r="G2027" s="1">
        <v>45443</v>
      </c>
      <c r="H2027" s="2">
        <v>45139</v>
      </c>
    </row>
    <row r="2028" spans="1:8" hidden="1" x14ac:dyDescent="0.45">
      <c r="A2028">
        <v>2026</v>
      </c>
      <c r="B2028" t="s">
        <v>7</v>
      </c>
      <c r="C2028" s="3">
        <v>1182005.89536699</v>
      </c>
      <c r="D2028" s="3">
        <v>1330269.6499999999</v>
      </c>
      <c r="E2028" s="3">
        <v>688763.41860024305</v>
      </c>
      <c r="F2028" s="3">
        <v>1711911.43102611</v>
      </c>
      <c r="G2028" s="1">
        <v>45443</v>
      </c>
      <c r="H2028" s="2">
        <v>45170</v>
      </c>
    </row>
    <row r="2029" spans="1:8" hidden="1" x14ac:dyDescent="0.45">
      <c r="A2029">
        <v>2027</v>
      </c>
      <c r="B2029" t="s">
        <v>7</v>
      </c>
      <c r="C2029" s="3">
        <v>1024264.21088948</v>
      </c>
      <c r="D2029" s="3">
        <v>1219536.81</v>
      </c>
      <c r="E2029" s="3">
        <v>599113.21958573197</v>
      </c>
      <c r="F2029" s="3">
        <v>1498632.1979791</v>
      </c>
      <c r="G2029" s="1">
        <v>45443</v>
      </c>
      <c r="H2029" s="2">
        <v>45200</v>
      </c>
    </row>
    <row r="2030" spans="1:8" hidden="1" x14ac:dyDescent="0.45">
      <c r="A2030">
        <v>2028</v>
      </c>
      <c r="B2030" t="s">
        <v>7</v>
      </c>
      <c r="C2030" s="3">
        <v>2134152.3335743402</v>
      </c>
      <c r="D2030" s="3">
        <v>2038136.91</v>
      </c>
      <c r="E2030" s="3">
        <v>1353061.21152625</v>
      </c>
      <c r="F2030" s="3">
        <v>2977607.57007463</v>
      </c>
      <c r="G2030" s="1">
        <v>45443</v>
      </c>
      <c r="H2030" s="2">
        <v>45231</v>
      </c>
    </row>
    <row r="2031" spans="1:8" hidden="1" x14ac:dyDescent="0.45">
      <c r="A2031">
        <v>2029</v>
      </c>
      <c r="B2031" t="s">
        <v>7</v>
      </c>
      <c r="C2031" s="3">
        <v>822609.36446648196</v>
      </c>
      <c r="D2031" s="3">
        <v>950044.03</v>
      </c>
      <c r="E2031" s="3">
        <v>449535.31124358298</v>
      </c>
      <c r="F2031" s="3">
        <v>1229187.5520155199</v>
      </c>
      <c r="G2031" s="1">
        <v>45443</v>
      </c>
      <c r="H2031" s="2">
        <v>45261</v>
      </c>
    </row>
    <row r="2032" spans="1:8" hidden="1" x14ac:dyDescent="0.45">
      <c r="A2032">
        <v>2030</v>
      </c>
      <c r="B2032" t="s">
        <v>7</v>
      </c>
      <c r="C2032" s="3">
        <v>1247607.29720346</v>
      </c>
      <c r="D2032" s="3">
        <v>1410224.61</v>
      </c>
      <c r="E2032" s="3">
        <v>734351.88686263002</v>
      </c>
      <c r="F2032" s="3">
        <v>1797432.0156138099</v>
      </c>
      <c r="G2032" s="1">
        <v>45443</v>
      </c>
      <c r="H2032" s="2">
        <v>45292</v>
      </c>
    </row>
    <row r="2033" spans="1:8" hidden="1" x14ac:dyDescent="0.45">
      <c r="A2033">
        <v>2031</v>
      </c>
      <c r="B2033" t="s">
        <v>7</v>
      </c>
      <c r="C2033" s="3">
        <v>1061378.07707208</v>
      </c>
      <c r="D2033" s="3">
        <v>1062970.03</v>
      </c>
      <c r="E2033" s="3">
        <v>609435.35859859304</v>
      </c>
      <c r="F2033" s="3">
        <v>1564544.1478494499</v>
      </c>
      <c r="G2033" s="1">
        <v>45443</v>
      </c>
      <c r="H2033" s="2">
        <v>45323</v>
      </c>
    </row>
    <row r="2034" spans="1:8" hidden="1" x14ac:dyDescent="0.45">
      <c r="A2034">
        <v>2032</v>
      </c>
      <c r="B2034" t="s">
        <v>7</v>
      </c>
      <c r="C2034" s="3">
        <v>1412474.9094010501</v>
      </c>
      <c r="D2034" s="3">
        <v>1085647</v>
      </c>
      <c r="E2034" s="3">
        <v>840365.54250721005</v>
      </c>
      <c r="F2034" s="3">
        <v>2020965.60079791</v>
      </c>
      <c r="G2034" s="1">
        <v>45443</v>
      </c>
      <c r="H2034" s="2">
        <v>45352</v>
      </c>
    </row>
    <row r="2035" spans="1:8" hidden="1" x14ac:dyDescent="0.45">
      <c r="A2035">
        <v>2033</v>
      </c>
      <c r="B2035" t="s">
        <v>7</v>
      </c>
      <c r="C2035" s="3">
        <v>1087068.36710702</v>
      </c>
      <c r="D2035" s="3">
        <v>1633642.04</v>
      </c>
      <c r="E2035" s="3">
        <v>620955.45410601096</v>
      </c>
      <c r="F2035" s="3">
        <v>1608526.77552324</v>
      </c>
      <c r="G2035" s="1">
        <v>45443</v>
      </c>
      <c r="H2035" s="2">
        <v>45383</v>
      </c>
    </row>
    <row r="2036" spans="1:8" hidden="1" x14ac:dyDescent="0.45">
      <c r="A2036">
        <v>2034</v>
      </c>
      <c r="B2036" t="s">
        <v>7</v>
      </c>
      <c r="C2036" s="3">
        <v>1111115.8147966701</v>
      </c>
      <c r="D2036" s="3">
        <v>989105.12</v>
      </c>
      <c r="E2036" s="3">
        <v>638794.09678145498</v>
      </c>
      <c r="F2036" s="3">
        <v>1633464.3732978301</v>
      </c>
      <c r="G2036" s="1">
        <v>45443</v>
      </c>
      <c r="H2036" s="2">
        <v>45413</v>
      </c>
    </row>
    <row r="2037" spans="1:8" hidden="1" x14ac:dyDescent="0.45">
      <c r="A2037">
        <v>2035</v>
      </c>
      <c r="B2037" t="s">
        <v>8</v>
      </c>
      <c r="C2037" s="3">
        <v>1225838.8897015301</v>
      </c>
      <c r="D2037" s="3">
        <v>910281.8</v>
      </c>
      <c r="E2037" s="3">
        <v>665210.68694258202</v>
      </c>
      <c r="F2037" s="3">
        <v>1833212.70159521</v>
      </c>
      <c r="G2037" s="1">
        <v>45443</v>
      </c>
      <c r="H2037" s="2">
        <v>45444</v>
      </c>
    </row>
    <row r="2038" spans="1:8" hidden="1" x14ac:dyDescent="0.45">
      <c r="A2038">
        <v>2036</v>
      </c>
      <c r="B2038" t="s">
        <v>8</v>
      </c>
      <c r="C2038" s="3">
        <v>1340312.5939243799</v>
      </c>
      <c r="D2038" s="3">
        <v>1035778.06</v>
      </c>
      <c r="E2038" s="3">
        <v>734714.77604225499</v>
      </c>
      <c r="F2038" s="3">
        <v>1984291.44811017</v>
      </c>
      <c r="G2038" s="1">
        <v>45443</v>
      </c>
      <c r="H2038" s="2">
        <v>45474</v>
      </c>
    </row>
    <row r="2039" spans="1:8" hidden="1" x14ac:dyDescent="0.45">
      <c r="A2039">
        <v>2037</v>
      </c>
      <c r="B2039" t="s">
        <v>8</v>
      </c>
      <c r="C2039" s="3">
        <v>1279804.40805796</v>
      </c>
      <c r="D2039" s="3">
        <v>1025279.03</v>
      </c>
      <c r="E2039" s="3">
        <v>693629.82768373995</v>
      </c>
      <c r="F2039" s="3">
        <v>1898127.58117524</v>
      </c>
      <c r="G2039" s="1">
        <v>45443</v>
      </c>
      <c r="H2039" s="2">
        <v>45505</v>
      </c>
    </row>
    <row r="2040" spans="1:8" hidden="1" x14ac:dyDescent="0.45">
      <c r="A2040">
        <v>2038</v>
      </c>
      <c r="B2040" t="s">
        <v>8</v>
      </c>
      <c r="C2040" s="3">
        <v>1220703.1511367101</v>
      </c>
      <c r="D2040" s="3">
        <v>1711819.98999999</v>
      </c>
      <c r="E2040" s="3">
        <v>654232.00308589195</v>
      </c>
      <c r="F2040" s="3">
        <v>1832179.90390872</v>
      </c>
      <c r="G2040" s="1">
        <v>45443</v>
      </c>
      <c r="H2040" s="2">
        <v>45536</v>
      </c>
    </row>
    <row r="2041" spans="1:8" hidden="1" x14ac:dyDescent="0.45">
      <c r="A2041">
        <v>2039</v>
      </c>
      <c r="B2041" t="s">
        <v>8</v>
      </c>
      <c r="C2041" s="3">
        <v>1034333.01829252</v>
      </c>
      <c r="D2041" s="3">
        <v>645248.16</v>
      </c>
      <c r="E2041" s="3">
        <v>567963.41619226395</v>
      </c>
      <c r="F2041" s="3">
        <v>1542101.96995468</v>
      </c>
      <c r="G2041" s="1">
        <v>45443</v>
      </c>
      <c r="H2041" s="2">
        <v>45566</v>
      </c>
    </row>
    <row r="2042" spans="1:8" hidden="1" x14ac:dyDescent="0.45">
      <c r="A2042">
        <v>2040</v>
      </c>
      <c r="B2042" t="s">
        <v>8</v>
      </c>
      <c r="C2042" s="3">
        <v>2071001.6340633</v>
      </c>
      <c r="D2042" s="3"/>
      <c r="E2042" s="3">
        <v>1210886.05763977</v>
      </c>
      <c r="F2042" s="3">
        <v>2998617.45855769</v>
      </c>
      <c r="G2042" s="1">
        <v>45443</v>
      </c>
      <c r="H2042" s="2">
        <v>45597</v>
      </c>
    </row>
    <row r="2043" spans="1:8" hidden="1" x14ac:dyDescent="0.45">
      <c r="A2043">
        <v>2041</v>
      </c>
      <c r="B2043" t="s">
        <v>8</v>
      </c>
      <c r="C2043" s="3">
        <v>777667.45709581405</v>
      </c>
      <c r="D2043" s="3"/>
      <c r="E2043" s="3">
        <v>408123.22442773799</v>
      </c>
      <c r="F2043" s="3">
        <v>1183655.32884346</v>
      </c>
      <c r="G2043" s="1">
        <v>45443</v>
      </c>
      <c r="H2043" s="2">
        <v>45627</v>
      </c>
    </row>
    <row r="2044" spans="1:8" hidden="1" x14ac:dyDescent="0.45">
      <c r="A2044">
        <v>2042</v>
      </c>
      <c r="B2044" t="s">
        <v>8</v>
      </c>
      <c r="C2044" s="3">
        <v>1148641.8816079299</v>
      </c>
      <c r="D2044" s="3"/>
      <c r="E2044" s="3">
        <v>636403.143013836</v>
      </c>
      <c r="F2044" s="3">
        <v>1703272.6200381599</v>
      </c>
      <c r="G2044" s="1">
        <v>45443</v>
      </c>
      <c r="H2044" s="2">
        <v>45658</v>
      </c>
    </row>
    <row r="2045" spans="1:8" hidden="1" x14ac:dyDescent="0.45">
      <c r="A2045">
        <v>2043</v>
      </c>
      <c r="B2045" t="s">
        <v>8</v>
      </c>
      <c r="C2045" s="3">
        <v>971364.103174099</v>
      </c>
      <c r="D2045" s="3"/>
      <c r="E2045" s="3">
        <v>524873.93978410796</v>
      </c>
      <c r="F2045" s="3">
        <v>1489466.58687612</v>
      </c>
      <c r="G2045" s="1">
        <v>45443</v>
      </c>
      <c r="H2045" s="2">
        <v>45689</v>
      </c>
    </row>
    <row r="2046" spans="1:8" hidden="1" x14ac:dyDescent="0.45">
      <c r="A2046">
        <v>2044</v>
      </c>
      <c r="B2046" t="s">
        <v>8</v>
      </c>
      <c r="C2046" s="3">
        <v>1229720.95644629</v>
      </c>
      <c r="D2046" s="3"/>
      <c r="E2046" s="3">
        <v>703534.62202291796</v>
      </c>
      <c r="F2046" s="3">
        <v>1808466.6141244399</v>
      </c>
      <c r="G2046" s="1">
        <v>45443</v>
      </c>
      <c r="H2046" s="2">
        <v>45717</v>
      </c>
    </row>
    <row r="2047" spans="1:8" hidden="1" x14ac:dyDescent="0.45">
      <c r="A2047">
        <v>2045</v>
      </c>
      <c r="B2047" t="s">
        <v>8</v>
      </c>
      <c r="C2047" s="3">
        <v>1002837.00357344</v>
      </c>
      <c r="D2047" s="3"/>
      <c r="E2047" s="3">
        <v>553463.58325238095</v>
      </c>
      <c r="F2047" s="3">
        <v>1499663.6209241201</v>
      </c>
      <c r="G2047" s="1">
        <v>45443</v>
      </c>
      <c r="H2047" s="2">
        <v>45748</v>
      </c>
    </row>
    <row r="2048" spans="1:8" hidden="1" x14ac:dyDescent="0.45">
      <c r="A2048">
        <v>2046</v>
      </c>
      <c r="B2048" t="s">
        <v>8</v>
      </c>
      <c r="C2048" s="3">
        <v>958620.54329686903</v>
      </c>
      <c r="D2048" s="3"/>
      <c r="E2048" s="3">
        <v>524600.78817549697</v>
      </c>
      <c r="F2048" s="3">
        <v>1430051.3477411401</v>
      </c>
      <c r="G2048" s="1">
        <v>45443</v>
      </c>
      <c r="H2048" s="2">
        <v>45778</v>
      </c>
    </row>
    <row r="2049" spans="1:8" hidden="1" x14ac:dyDescent="0.45">
      <c r="A2049">
        <v>2047</v>
      </c>
      <c r="B2049" t="s">
        <v>8</v>
      </c>
      <c r="C2049" s="3">
        <v>1094559.01334589</v>
      </c>
      <c r="D2049" s="3"/>
      <c r="E2049" s="3">
        <v>568928.85207132599</v>
      </c>
      <c r="F2049" s="3">
        <v>1682235.7431802</v>
      </c>
      <c r="G2049" s="1">
        <v>45443</v>
      </c>
      <c r="H2049" s="2">
        <v>45809</v>
      </c>
    </row>
    <row r="2050" spans="1:8" hidden="1" x14ac:dyDescent="0.45">
      <c r="A2050">
        <v>2048</v>
      </c>
      <c r="B2050" t="s">
        <v>8</v>
      </c>
      <c r="C2050" s="3">
        <v>1197116.2509656399</v>
      </c>
      <c r="D2050" s="3"/>
      <c r="E2050" s="3">
        <v>632291.25194129802</v>
      </c>
      <c r="F2050" s="3">
        <v>1801990.31481785</v>
      </c>
      <c r="G2050" s="1">
        <v>45443</v>
      </c>
      <c r="H2050" s="2">
        <v>45839</v>
      </c>
    </row>
    <row r="2051" spans="1:8" hidden="1" x14ac:dyDescent="0.45">
      <c r="A2051">
        <v>2049</v>
      </c>
      <c r="B2051" t="s">
        <v>8</v>
      </c>
      <c r="C2051" s="3">
        <v>1189494.31100358</v>
      </c>
      <c r="D2051" s="3"/>
      <c r="E2051" s="3">
        <v>625963.33615036204</v>
      </c>
      <c r="F2051" s="3">
        <v>1785203.516998</v>
      </c>
      <c r="G2051" s="1">
        <v>45443</v>
      </c>
      <c r="H2051" s="2">
        <v>45870</v>
      </c>
    </row>
    <row r="2052" spans="1:8" hidden="1" x14ac:dyDescent="0.45">
      <c r="A2052">
        <v>2050</v>
      </c>
      <c r="B2052" t="s">
        <v>8</v>
      </c>
      <c r="C2052" s="3">
        <v>1140861.6484632101</v>
      </c>
      <c r="D2052" s="3"/>
      <c r="E2052" s="3">
        <v>594048.76934420504</v>
      </c>
      <c r="F2052" s="3">
        <v>1736172.8076679199</v>
      </c>
      <c r="G2052" s="1">
        <v>45443</v>
      </c>
      <c r="H2052" s="2">
        <v>45901</v>
      </c>
    </row>
    <row r="2053" spans="1:8" hidden="1" x14ac:dyDescent="0.45">
      <c r="A2053">
        <v>2051</v>
      </c>
      <c r="B2053" t="s">
        <v>8</v>
      </c>
      <c r="C2053" s="3">
        <v>973073.621527549</v>
      </c>
      <c r="D2053" s="3"/>
      <c r="E2053" s="3">
        <v>528162.48013905203</v>
      </c>
      <c r="F2053" s="3">
        <v>1465780.17673162</v>
      </c>
      <c r="G2053" s="1">
        <v>45443</v>
      </c>
      <c r="H2053" s="2">
        <v>45931</v>
      </c>
    </row>
    <row r="2054" spans="1:8" hidden="1" x14ac:dyDescent="0.45">
      <c r="A2054">
        <v>2052</v>
      </c>
      <c r="B2054" t="s">
        <v>7</v>
      </c>
      <c r="C2054" s="3">
        <v>137109.94720608901</v>
      </c>
      <c r="D2054" s="3">
        <v>28250.62</v>
      </c>
      <c r="E2054" s="3">
        <v>87510.706136937501</v>
      </c>
      <c r="F2054" s="3">
        <v>196182.77978700699</v>
      </c>
      <c r="G2054" s="1">
        <v>45473</v>
      </c>
      <c r="H2054" s="2">
        <v>44228</v>
      </c>
    </row>
    <row r="2055" spans="1:8" hidden="1" x14ac:dyDescent="0.45">
      <c r="A2055">
        <v>2053</v>
      </c>
      <c r="B2055" t="s">
        <v>7</v>
      </c>
      <c r="C2055" s="3">
        <v>251998.511664119</v>
      </c>
      <c r="D2055" s="3">
        <v>36247.919999999998</v>
      </c>
      <c r="E2055" s="3">
        <v>167185.36479571299</v>
      </c>
      <c r="F2055" s="3">
        <v>342578.44691317802</v>
      </c>
      <c r="G2055" s="1">
        <v>45473</v>
      </c>
      <c r="H2055" s="2">
        <v>44256</v>
      </c>
    </row>
    <row r="2056" spans="1:8" hidden="1" x14ac:dyDescent="0.45">
      <c r="A2056">
        <v>2054</v>
      </c>
      <c r="B2056" t="s">
        <v>7</v>
      </c>
      <c r="C2056" s="3">
        <v>160186.64355194199</v>
      </c>
      <c r="D2056" s="3">
        <v>14721.48</v>
      </c>
      <c r="E2056" s="3">
        <v>97852.256041318207</v>
      </c>
      <c r="F2056" s="3">
        <v>221768.80485234401</v>
      </c>
      <c r="G2056" s="1">
        <v>45473</v>
      </c>
      <c r="H2056" s="2">
        <v>44287</v>
      </c>
    </row>
    <row r="2057" spans="1:8" hidden="1" x14ac:dyDescent="0.45">
      <c r="A2057">
        <v>2055</v>
      </c>
      <c r="B2057" t="s">
        <v>7</v>
      </c>
      <c r="C2057" s="3">
        <v>200789.791870986</v>
      </c>
      <c r="D2057" s="3">
        <v>94346.71</v>
      </c>
      <c r="E2057" s="3">
        <v>127368.96127273201</v>
      </c>
      <c r="F2057" s="3">
        <v>286618.46036204603</v>
      </c>
      <c r="G2057" s="1">
        <v>45473</v>
      </c>
      <c r="H2057" s="2">
        <v>44317</v>
      </c>
    </row>
    <row r="2058" spans="1:8" hidden="1" x14ac:dyDescent="0.45">
      <c r="A2058">
        <v>2056</v>
      </c>
      <c r="B2058" t="s">
        <v>7</v>
      </c>
      <c r="C2058" s="3">
        <v>380011.07733679499</v>
      </c>
      <c r="D2058" s="3">
        <v>970740.72</v>
      </c>
      <c r="E2058" s="3">
        <v>247520.64985677999</v>
      </c>
      <c r="F2058" s="3">
        <v>523871.16994197998</v>
      </c>
      <c r="G2058" s="1">
        <v>45473</v>
      </c>
      <c r="H2058" s="2">
        <v>44348</v>
      </c>
    </row>
    <row r="2059" spans="1:8" hidden="1" x14ac:dyDescent="0.45">
      <c r="A2059">
        <v>2057</v>
      </c>
      <c r="B2059" t="s">
        <v>7</v>
      </c>
      <c r="C2059" s="3">
        <v>897230.34677074198</v>
      </c>
      <c r="D2059" s="3">
        <v>1798271.24</v>
      </c>
      <c r="E2059" s="3">
        <v>598510.57871479099</v>
      </c>
      <c r="F2059" s="3">
        <v>1190332.30543664</v>
      </c>
      <c r="G2059" s="1">
        <v>45473</v>
      </c>
      <c r="H2059" s="2">
        <v>44378</v>
      </c>
    </row>
    <row r="2060" spans="1:8" hidden="1" x14ac:dyDescent="0.45">
      <c r="A2060">
        <v>2058</v>
      </c>
      <c r="B2060" t="s">
        <v>7</v>
      </c>
      <c r="C2060" s="3">
        <v>965112.26758841099</v>
      </c>
      <c r="D2060" s="3">
        <v>700449.31</v>
      </c>
      <c r="E2060" s="3">
        <v>643599.05435867596</v>
      </c>
      <c r="F2060" s="3">
        <v>1310355.50757366</v>
      </c>
      <c r="G2060" s="1">
        <v>45473</v>
      </c>
      <c r="H2060" s="2">
        <v>44409</v>
      </c>
    </row>
    <row r="2061" spans="1:8" hidden="1" x14ac:dyDescent="0.45">
      <c r="A2061">
        <v>2059</v>
      </c>
      <c r="B2061" t="s">
        <v>7</v>
      </c>
      <c r="C2061" s="3">
        <v>1020003.81755533</v>
      </c>
      <c r="D2061" s="3">
        <v>1784906.52</v>
      </c>
      <c r="E2061" s="3">
        <v>676915.62834775297</v>
      </c>
      <c r="F2061" s="3">
        <v>1365571.02700158</v>
      </c>
      <c r="G2061" s="1">
        <v>45473</v>
      </c>
      <c r="H2061" s="2">
        <v>44440</v>
      </c>
    </row>
    <row r="2062" spans="1:8" hidden="1" x14ac:dyDescent="0.45">
      <c r="A2062">
        <v>2060</v>
      </c>
      <c r="B2062" t="s">
        <v>7</v>
      </c>
      <c r="C2062" s="3">
        <v>926815.56890399696</v>
      </c>
      <c r="D2062" s="3">
        <v>706422.77</v>
      </c>
      <c r="E2062" s="3">
        <v>594873.44104069599</v>
      </c>
      <c r="F2062" s="3">
        <v>1290902.8882275801</v>
      </c>
      <c r="G2062" s="1">
        <v>45473</v>
      </c>
      <c r="H2062" s="2">
        <v>44470</v>
      </c>
    </row>
    <row r="2063" spans="1:8" hidden="1" x14ac:dyDescent="0.45">
      <c r="A2063">
        <v>2061</v>
      </c>
      <c r="B2063" t="s">
        <v>7</v>
      </c>
      <c r="C2063" s="3">
        <v>1906480.6500677399</v>
      </c>
      <c r="D2063" s="3">
        <v>3115611.92</v>
      </c>
      <c r="E2063" s="3">
        <v>1369045.52038463</v>
      </c>
      <c r="F2063" s="3">
        <v>2474987.2098793401</v>
      </c>
      <c r="G2063" s="1">
        <v>45473</v>
      </c>
      <c r="H2063" s="2">
        <v>44501</v>
      </c>
    </row>
    <row r="2064" spans="1:8" hidden="1" x14ac:dyDescent="0.45">
      <c r="A2064">
        <v>2062</v>
      </c>
      <c r="B2064" t="s">
        <v>7</v>
      </c>
      <c r="C2064" s="3">
        <v>833572.10812621797</v>
      </c>
      <c r="D2064" s="3">
        <v>227049.91</v>
      </c>
      <c r="E2064" s="3">
        <v>475255.72359049</v>
      </c>
      <c r="F2064" s="3">
        <v>1208505.78928844</v>
      </c>
      <c r="G2064" s="1">
        <v>45473</v>
      </c>
      <c r="H2064" s="2">
        <v>44531</v>
      </c>
    </row>
    <row r="2065" spans="1:8" hidden="1" x14ac:dyDescent="0.45">
      <c r="A2065">
        <v>2063</v>
      </c>
      <c r="B2065" t="s">
        <v>7</v>
      </c>
      <c r="C2065" s="3">
        <v>1245814.4123932701</v>
      </c>
      <c r="D2065" s="3">
        <v>1231496.1499999999</v>
      </c>
      <c r="E2065" s="3">
        <v>804967.25775887899</v>
      </c>
      <c r="F2065" s="3">
        <v>1715681.95268769</v>
      </c>
      <c r="G2065" s="1">
        <v>45473</v>
      </c>
      <c r="H2065" s="2">
        <v>44562</v>
      </c>
    </row>
    <row r="2066" spans="1:8" hidden="1" x14ac:dyDescent="0.45">
      <c r="A2066">
        <v>2064</v>
      </c>
      <c r="B2066" t="s">
        <v>7</v>
      </c>
      <c r="C2066" s="3">
        <v>1075857.2025945799</v>
      </c>
      <c r="D2066" s="3">
        <v>1031231.86</v>
      </c>
      <c r="E2066" s="3">
        <v>666112.83436367102</v>
      </c>
      <c r="F2066" s="3">
        <v>1507782.55847277</v>
      </c>
      <c r="G2066" s="1">
        <v>45473</v>
      </c>
      <c r="H2066" s="2">
        <v>44593</v>
      </c>
    </row>
    <row r="2067" spans="1:8" hidden="1" x14ac:dyDescent="0.45">
      <c r="A2067">
        <v>2065</v>
      </c>
      <c r="B2067" t="s">
        <v>7</v>
      </c>
      <c r="C2067" s="3">
        <v>1598854.57626913</v>
      </c>
      <c r="D2067" s="3">
        <v>2866780.02</v>
      </c>
      <c r="E2067" s="3">
        <v>1043163.703551</v>
      </c>
      <c r="F2067" s="3">
        <v>2182412.91646781</v>
      </c>
      <c r="G2067" s="1">
        <v>45473</v>
      </c>
      <c r="H2067" s="2">
        <v>44621</v>
      </c>
    </row>
    <row r="2068" spans="1:8" hidden="1" x14ac:dyDescent="0.45">
      <c r="A2068">
        <v>2066</v>
      </c>
      <c r="B2068" t="s">
        <v>7</v>
      </c>
      <c r="C2068" s="3">
        <v>1055470.42348968</v>
      </c>
      <c r="D2068" s="3">
        <v>106305.83</v>
      </c>
      <c r="E2068" s="3">
        <v>639552.71170931798</v>
      </c>
      <c r="F2068" s="3">
        <v>1497697.4465981501</v>
      </c>
      <c r="G2068" s="1">
        <v>45473</v>
      </c>
      <c r="H2068" s="2">
        <v>44652</v>
      </c>
    </row>
    <row r="2069" spans="1:8" hidden="1" x14ac:dyDescent="0.45">
      <c r="A2069">
        <v>2067</v>
      </c>
      <c r="B2069" t="s">
        <v>7</v>
      </c>
      <c r="C2069" s="3">
        <v>1125527.4187811201</v>
      </c>
      <c r="D2069" s="3">
        <v>667164.73</v>
      </c>
      <c r="E2069" s="3">
        <v>678923.02804795001</v>
      </c>
      <c r="F2069" s="3">
        <v>1610487.20368789</v>
      </c>
      <c r="G2069" s="1">
        <v>45473</v>
      </c>
      <c r="H2069" s="2">
        <v>44682</v>
      </c>
    </row>
    <row r="2070" spans="1:8" hidden="1" x14ac:dyDescent="0.45">
      <c r="A2070">
        <v>2068</v>
      </c>
      <c r="B2070" t="s">
        <v>7</v>
      </c>
      <c r="C2070" s="3">
        <v>1237454.2168306799</v>
      </c>
      <c r="D2070" s="3">
        <v>1398761.09</v>
      </c>
      <c r="E2070" s="3">
        <v>765407.00976752397</v>
      </c>
      <c r="F2070" s="3">
        <v>1742577.43651977</v>
      </c>
      <c r="G2070" s="1">
        <v>45473</v>
      </c>
      <c r="H2070" s="2">
        <v>44713</v>
      </c>
    </row>
    <row r="2071" spans="1:8" hidden="1" x14ac:dyDescent="0.45">
      <c r="A2071">
        <v>2069</v>
      </c>
      <c r="B2071" t="s">
        <v>7</v>
      </c>
      <c r="C2071" s="3">
        <v>1438149.4322613999</v>
      </c>
      <c r="D2071" s="3">
        <v>931475.54</v>
      </c>
      <c r="E2071" s="3">
        <v>883311.83086677897</v>
      </c>
      <c r="F2071" s="3">
        <v>2025831.49474341</v>
      </c>
      <c r="G2071" s="1">
        <v>45473</v>
      </c>
      <c r="H2071" s="2">
        <v>44743</v>
      </c>
    </row>
    <row r="2072" spans="1:8" hidden="1" x14ac:dyDescent="0.45">
      <c r="A2072">
        <v>2070</v>
      </c>
      <c r="B2072" t="s">
        <v>7</v>
      </c>
      <c r="C2072" s="3">
        <v>1292474.9186436399</v>
      </c>
      <c r="D2072" s="3">
        <v>1335916.6499999999</v>
      </c>
      <c r="E2072" s="3">
        <v>807451.711988925</v>
      </c>
      <c r="F2072" s="3">
        <v>1830855.0233104499</v>
      </c>
      <c r="G2072" s="1">
        <v>45473</v>
      </c>
      <c r="H2072" s="2">
        <v>44774</v>
      </c>
    </row>
    <row r="2073" spans="1:8" hidden="1" x14ac:dyDescent="0.45">
      <c r="A2073">
        <v>2071</v>
      </c>
      <c r="B2073" t="s">
        <v>7</v>
      </c>
      <c r="C2073" s="3">
        <v>1242829.9796065299</v>
      </c>
      <c r="D2073" s="3">
        <v>976647.27</v>
      </c>
      <c r="E2073" s="3">
        <v>754694.52256252395</v>
      </c>
      <c r="F2073" s="3">
        <v>1780585.6005539</v>
      </c>
      <c r="G2073" s="1">
        <v>45473</v>
      </c>
      <c r="H2073" s="2">
        <v>44805</v>
      </c>
    </row>
    <row r="2074" spans="1:8" hidden="1" x14ac:dyDescent="0.45">
      <c r="A2074">
        <v>2072</v>
      </c>
      <c r="B2074" t="s">
        <v>7</v>
      </c>
      <c r="C2074" s="3">
        <v>1060370.6848134201</v>
      </c>
      <c r="D2074" s="3">
        <v>975982.86</v>
      </c>
      <c r="E2074" s="3">
        <v>640514.02564918296</v>
      </c>
      <c r="F2074" s="3">
        <v>1534322.2638435101</v>
      </c>
      <c r="G2074" s="1">
        <v>45473</v>
      </c>
      <c r="H2074" s="2">
        <v>44835</v>
      </c>
    </row>
    <row r="2075" spans="1:8" hidden="1" x14ac:dyDescent="0.45">
      <c r="A2075">
        <v>2073</v>
      </c>
      <c r="B2075" t="s">
        <v>7</v>
      </c>
      <c r="C2075" s="3">
        <v>2198047.3853976</v>
      </c>
      <c r="D2075" s="3">
        <v>2010415.16</v>
      </c>
      <c r="E2075" s="3">
        <v>1457988.3944111699</v>
      </c>
      <c r="F2075" s="3">
        <v>2976726.8438287498</v>
      </c>
      <c r="G2075" s="1">
        <v>45473</v>
      </c>
      <c r="H2075" s="2">
        <v>44866</v>
      </c>
    </row>
    <row r="2076" spans="1:8" hidden="1" x14ac:dyDescent="0.45">
      <c r="A2076">
        <v>2074</v>
      </c>
      <c r="B2076" t="s">
        <v>7</v>
      </c>
      <c r="C2076" s="3">
        <v>810852.68388916098</v>
      </c>
      <c r="D2076" s="3">
        <v>348929.42</v>
      </c>
      <c r="E2076" s="3">
        <v>447786.08103970502</v>
      </c>
      <c r="F2076" s="3">
        <v>1190709.73433746</v>
      </c>
      <c r="G2076" s="1">
        <v>45473</v>
      </c>
      <c r="H2076" s="2">
        <v>44896</v>
      </c>
    </row>
    <row r="2077" spans="1:8" hidden="1" x14ac:dyDescent="0.45">
      <c r="A2077">
        <v>2075</v>
      </c>
      <c r="B2077" t="s">
        <v>7</v>
      </c>
      <c r="C2077" s="3">
        <v>1208054.97967935</v>
      </c>
      <c r="D2077" s="3">
        <v>1096298.6399999999</v>
      </c>
      <c r="E2077" s="3">
        <v>739452.20295582199</v>
      </c>
      <c r="F2077" s="3">
        <v>1702047.2548076999</v>
      </c>
      <c r="G2077" s="1">
        <v>45473</v>
      </c>
      <c r="H2077" s="2">
        <v>44927</v>
      </c>
    </row>
    <row r="2078" spans="1:8" hidden="1" x14ac:dyDescent="0.45">
      <c r="A2078">
        <v>2076</v>
      </c>
      <c r="B2078" t="s">
        <v>7</v>
      </c>
      <c r="C2078" s="3">
        <v>1019234.8285872</v>
      </c>
      <c r="D2078" s="3">
        <v>1036928.47</v>
      </c>
      <c r="E2078" s="3">
        <v>609216.52482885798</v>
      </c>
      <c r="F2078" s="3">
        <v>1468131.6150336999</v>
      </c>
      <c r="G2078" s="1">
        <v>45473</v>
      </c>
      <c r="H2078" s="2">
        <v>44958</v>
      </c>
    </row>
    <row r="2079" spans="1:8" hidden="1" x14ac:dyDescent="0.45">
      <c r="A2079">
        <v>2077</v>
      </c>
      <c r="B2079" t="s">
        <v>7</v>
      </c>
      <c r="C2079" s="3">
        <v>1389393.06561326</v>
      </c>
      <c r="D2079" s="3">
        <v>660363.89</v>
      </c>
      <c r="E2079" s="3">
        <v>845569.62321794196</v>
      </c>
      <c r="F2079" s="3">
        <v>1970394.8081628799</v>
      </c>
      <c r="G2079" s="1">
        <v>45473</v>
      </c>
      <c r="H2079" s="2">
        <v>44986</v>
      </c>
    </row>
    <row r="2080" spans="1:8" hidden="1" x14ac:dyDescent="0.45">
      <c r="A2080">
        <v>2078</v>
      </c>
      <c r="B2080" t="s">
        <v>7</v>
      </c>
      <c r="C2080" s="3">
        <v>960569.88223712903</v>
      </c>
      <c r="D2080" s="3">
        <v>1093282.48</v>
      </c>
      <c r="E2080" s="3">
        <v>563560.82123322506</v>
      </c>
      <c r="F2080" s="3">
        <v>1383841.6751198201</v>
      </c>
      <c r="G2080" s="1">
        <v>45473</v>
      </c>
      <c r="H2080" s="2">
        <v>45017</v>
      </c>
    </row>
    <row r="2081" spans="1:8" hidden="1" x14ac:dyDescent="0.45">
      <c r="A2081">
        <v>2079</v>
      </c>
      <c r="B2081" t="s">
        <v>7</v>
      </c>
      <c r="C2081" s="3">
        <v>1005659.94853968</v>
      </c>
      <c r="D2081" s="3">
        <v>1212297.6200000001</v>
      </c>
      <c r="E2081" s="3">
        <v>583725.55777958396</v>
      </c>
      <c r="F2081" s="3">
        <v>1447147.7649722099</v>
      </c>
      <c r="G2081" s="1">
        <v>45473</v>
      </c>
      <c r="H2081" s="2">
        <v>45047</v>
      </c>
    </row>
    <row r="2082" spans="1:8" hidden="1" x14ac:dyDescent="0.45">
      <c r="A2082">
        <v>2080</v>
      </c>
      <c r="B2082" t="s">
        <v>7</v>
      </c>
      <c r="C2082" s="3">
        <v>1084032.5117062</v>
      </c>
      <c r="D2082" s="3">
        <v>1041503.83</v>
      </c>
      <c r="E2082" s="3">
        <v>639086.01698803203</v>
      </c>
      <c r="F2082" s="3">
        <v>1562188.6787439201</v>
      </c>
      <c r="G2082" s="1">
        <v>45473</v>
      </c>
      <c r="H2082" s="2">
        <v>45078</v>
      </c>
    </row>
    <row r="2083" spans="1:8" hidden="1" x14ac:dyDescent="0.45">
      <c r="A2083">
        <v>2081</v>
      </c>
      <c r="B2083" t="s">
        <v>7</v>
      </c>
      <c r="C2083" s="3">
        <v>1258048.6390610801</v>
      </c>
      <c r="D2083" s="3">
        <v>1103446</v>
      </c>
      <c r="E2083" s="3">
        <v>734950.09717775497</v>
      </c>
      <c r="F2083" s="3">
        <v>1813518.35701169</v>
      </c>
      <c r="G2083" s="1">
        <v>45473</v>
      </c>
      <c r="H2083" s="2">
        <v>45108</v>
      </c>
    </row>
    <row r="2084" spans="1:8" hidden="1" x14ac:dyDescent="0.45">
      <c r="A2084">
        <v>2082</v>
      </c>
      <c r="B2084" t="s">
        <v>7</v>
      </c>
      <c r="C2084" s="3">
        <v>1192202.84253153</v>
      </c>
      <c r="D2084" s="3">
        <v>1157502.68</v>
      </c>
      <c r="E2084" s="3">
        <v>696847.57623896399</v>
      </c>
      <c r="F2084" s="3">
        <v>1732051.8141119501</v>
      </c>
      <c r="G2084" s="1">
        <v>45473</v>
      </c>
      <c r="H2084" s="2">
        <v>45139</v>
      </c>
    </row>
    <row r="2085" spans="1:8" hidden="1" x14ac:dyDescent="0.45">
      <c r="A2085">
        <v>2083</v>
      </c>
      <c r="B2085" t="s">
        <v>7</v>
      </c>
      <c r="C2085" s="3">
        <v>1167198.19769291</v>
      </c>
      <c r="D2085" s="3">
        <v>1330269.6499999999</v>
      </c>
      <c r="E2085" s="3">
        <v>680117.87037783803</v>
      </c>
      <c r="F2085" s="3">
        <v>1695239.0967077699</v>
      </c>
      <c r="G2085" s="1">
        <v>45473</v>
      </c>
      <c r="H2085" s="2">
        <v>45170</v>
      </c>
    </row>
    <row r="2086" spans="1:8" hidden="1" x14ac:dyDescent="0.45">
      <c r="A2086">
        <v>2084</v>
      </c>
      <c r="B2086" t="s">
        <v>7</v>
      </c>
      <c r="C2086" s="3">
        <v>1040355.73778334</v>
      </c>
      <c r="D2086" s="3">
        <v>1219536.81</v>
      </c>
      <c r="E2086" s="3">
        <v>594667.23933134601</v>
      </c>
      <c r="F2086" s="3">
        <v>1541343.3651332101</v>
      </c>
      <c r="G2086" s="1">
        <v>45473</v>
      </c>
      <c r="H2086" s="2">
        <v>45200</v>
      </c>
    </row>
    <row r="2087" spans="1:8" hidden="1" x14ac:dyDescent="0.45">
      <c r="A2087">
        <v>2085</v>
      </c>
      <c r="B2087" t="s">
        <v>7</v>
      </c>
      <c r="C2087" s="3">
        <v>2055636.3582214799</v>
      </c>
      <c r="D2087" s="3">
        <v>2038136.91</v>
      </c>
      <c r="E2087" s="3">
        <v>1318583.3801058601</v>
      </c>
      <c r="F2087" s="3">
        <v>2873878.4266539901</v>
      </c>
      <c r="G2087" s="1">
        <v>45473</v>
      </c>
      <c r="H2087" s="2">
        <v>45231</v>
      </c>
    </row>
    <row r="2088" spans="1:8" hidden="1" x14ac:dyDescent="0.45">
      <c r="A2088">
        <v>2086</v>
      </c>
      <c r="B2088" t="s">
        <v>7</v>
      </c>
      <c r="C2088" s="3">
        <v>830402.78226838703</v>
      </c>
      <c r="D2088" s="3">
        <v>950044.03</v>
      </c>
      <c r="E2088" s="3">
        <v>445378.35584262299</v>
      </c>
      <c r="F2088" s="3">
        <v>1244398.4402678199</v>
      </c>
      <c r="G2088" s="1">
        <v>45473</v>
      </c>
      <c r="H2088" s="2">
        <v>45261</v>
      </c>
    </row>
    <row r="2089" spans="1:8" hidden="1" x14ac:dyDescent="0.45">
      <c r="A2089">
        <v>2087</v>
      </c>
      <c r="B2089" t="s">
        <v>7</v>
      </c>
      <c r="C2089" s="3">
        <v>1233749.3327355899</v>
      </c>
      <c r="D2089" s="3">
        <v>1410224.61</v>
      </c>
      <c r="E2089" s="3">
        <v>728113.13286259503</v>
      </c>
      <c r="F2089" s="3">
        <v>1772051.1481407699</v>
      </c>
      <c r="G2089" s="1">
        <v>45473</v>
      </c>
      <c r="H2089" s="2">
        <v>45292</v>
      </c>
    </row>
    <row r="2090" spans="1:8" hidden="1" x14ac:dyDescent="0.45">
      <c r="A2090">
        <v>2088</v>
      </c>
      <c r="B2090" t="s">
        <v>7</v>
      </c>
      <c r="C2090" s="3">
        <v>1066131.6330814799</v>
      </c>
      <c r="D2090" s="3">
        <v>1062970.03</v>
      </c>
      <c r="E2090" s="3">
        <v>606627.17794225703</v>
      </c>
      <c r="F2090" s="3">
        <v>1559194.1650206901</v>
      </c>
      <c r="G2090" s="1">
        <v>45473</v>
      </c>
      <c r="H2090" s="2">
        <v>45323</v>
      </c>
    </row>
    <row r="2091" spans="1:8" hidden="1" x14ac:dyDescent="0.45">
      <c r="A2091">
        <v>2089</v>
      </c>
      <c r="B2091" t="s">
        <v>7</v>
      </c>
      <c r="C2091" s="3">
        <v>1372399.88721553</v>
      </c>
      <c r="D2091" s="3">
        <v>1085647</v>
      </c>
      <c r="E2091" s="3">
        <v>811313.69405313802</v>
      </c>
      <c r="F2091" s="3">
        <v>1988385.1027275899</v>
      </c>
      <c r="G2091" s="1">
        <v>45473</v>
      </c>
      <c r="H2091" s="2">
        <v>45352</v>
      </c>
    </row>
    <row r="2092" spans="1:8" hidden="1" x14ac:dyDescent="0.45">
      <c r="A2092">
        <v>2090</v>
      </c>
      <c r="B2092" t="s">
        <v>7</v>
      </c>
      <c r="C2092" s="3">
        <v>1072510.6506407999</v>
      </c>
      <c r="D2092" s="3">
        <v>1633642.04</v>
      </c>
      <c r="E2092" s="3">
        <v>613038.052174096</v>
      </c>
      <c r="F2092" s="3">
        <v>1587384.87064866</v>
      </c>
      <c r="G2092" s="1">
        <v>45473</v>
      </c>
      <c r="H2092" s="2">
        <v>45383</v>
      </c>
    </row>
    <row r="2093" spans="1:8" hidden="1" x14ac:dyDescent="0.45">
      <c r="A2093">
        <v>2091</v>
      </c>
      <c r="B2093" t="s">
        <v>7</v>
      </c>
      <c r="C2093" s="3">
        <v>1088968.6171661101</v>
      </c>
      <c r="D2093" s="3">
        <v>989105.12</v>
      </c>
      <c r="E2093" s="3">
        <v>614308.51464172103</v>
      </c>
      <c r="F2093" s="3">
        <v>1614190.5547771901</v>
      </c>
      <c r="G2093" s="1">
        <v>45473</v>
      </c>
      <c r="H2093" s="2">
        <v>45413</v>
      </c>
    </row>
    <row r="2094" spans="1:8" hidden="1" x14ac:dyDescent="0.45">
      <c r="A2094">
        <v>2092</v>
      </c>
      <c r="B2094" t="s">
        <v>7</v>
      </c>
      <c r="C2094" s="3">
        <v>1140816.51046455</v>
      </c>
      <c r="D2094" s="3">
        <v>946467.62</v>
      </c>
      <c r="E2094" s="3">
        <v>649348.42906868504</v>
      </c>
      <c r="F2094" s="3">
        <v>1668956.71648201</v>
      </c>
      <c r="G2094" s="1">
        <v>45473</v>
      </c>
      <c r="H2094" s="2">
        <v>45444</v>
      </c>
    </row>
    <row r="2095" spans="1:8" hidden="1" x14ac:dyDescent="0.45">
      <c r="A2095">
        <v>2093</v>
      </c>
      <c r="B2095" t="s">
        <v>8</v>
      </c>
      <c r="C2095" s="3">
        <v>1319796.7495029999</v>
      </c>
      <c r="D2095" s="3">
        <v>1071131.01</v>
      </c>
      <c r="E2095" s="3">
        <v>727645.78066578903</v>
      </c>
      <c r="F2095" s="3">
        <v>1969435.4476819299</v>
      </c>
      <c r="G2095" s="1">
        <v>45473</v>
      </c>
      <c r="H2095" s="2">
        <v>45474</v>
      </c>
    </row>
    <row r="2096" spans="1:8" hidden="1" x14ac:dyDescent="0.45">
      <c r="A2096">
        <v>2094</v>
      </c>
      <c r="B2096" t="s">
        <v>8</v>
      </c>
      <c r="C2096" s="3">
        <v>1232435.3693679001</v>
      </c>
      <c r="D2096" s="3">
        <v>1053110.74</v>
      </c>
      <c r="E2096" s="3">
        <v>671485.85207345395</v>
      </c>
      <c r="F2096" s="3">
        <v>1834212.05624969</v>
      </c>
      <c r="G2096" s="1">
        <v>45473</v>
      </c>
      <c r="H2096" s="2">
        <v>45505</v>
      </c>
    </row>
    <row r="2097" spans="1:8" hidden="1" x14ac:dyDescent="0.45">
      <c r="A2097">
        <v>2095</v>
      </c>
      <c r="B2097" t="s">
        <v>8</v>
      </c>
      <c r="C2097" s="3">
        <v>1191180.6268521601</v>
      </c>
      <c r="D2097" s="3">
        <v>1746981.8299999901</v>
      </c>
      <c r="E2097" s="3">
        <v>635643.87282274605</v>
      </c>
      <c r="F2097" s="3">
        <v>1789482.17759562</v>
      </c>
      <c r="G2097" s="1">
        <v>45473</v>
      </c>
      <c r="H2097" s="2">
        <v>45536</v>
      </c>
    </row>
    <row r="2098" spans="1:8" hidden="1" x14ac:dyDescent="0.45">
      <c r="A2098">
        <v>2096</v>
      </c>
      <c r="B2098" t="s">
        <v>8</v>
      </c>
      <c r="C2098" s="3">
        <v>1045433.59349558</v>
      </c>
      <c r="D2098" s="3">
        <v>657283.17000000004</v>
      </c>
      <c r="E2098" s="3">
        <v>541110.11297434301</v>
      </c>
      <c r="F2098" s="3">
        <v>1608387.49237367</v>
      </c>
      <c r="G2098" s="1">
        <v>45473</v>
      </c>
      <c r="H2098" s="2">
        <v>45566</v>
      </c>
    </row>
    <row r="2099" spans="1:8" hidden="1" x14ac:dyDescent="0.45">
      <c r="A2099">
        <v>2097</v>
      </c>
      <c r="B2099" t="s">
        <v>8</v>
      </c>
      <c r="C2099" s="3">
        <v>1978114.28979152</v>
      </c>
      <c r="D2099" s="3"/>
      <c r="E2099" s="3">
        <v>1140653.08949542</v>
      </c>
      <c r="F2099" s="3">
        <v>2899197.0482101198</v>
      </c>
      <c r="G2099" s="1">
        <v>45473</v>
      </c>
      <c r="H2099" s="2">
        <v>45597</v>
      </c>
    </row>
    <row r="2100" spans="1:8" hidden="1" x14ac:dyDescent="0.45">
      <c r="A2100">
        <v>2098</v>
      </c>
      <c r="B2100" t="s">
        <v>8</v>
      </c>
      <c r="C2100" s="3">
        <v>780894.87689132802</v>
      </c>
      <c r="D2100" s="3"/>
      <c r="E2100" s="3">
        <v>389410.70722104702</v>
      </c>
      <c r="F2100" s="3">
        <v>1213037.0596715501</v>
      </c>
      <c r="G2100" s="1">
        <v>45473</v>
      </c>
      <c r="H2100" s="2">
        <v>45627</v>
      </c>
    </row>
    <row r="2101" spans="1:8" hidden="1" x14ac:dyDescent="0.45">
      <c r="A2101">
        <v>2099</v>
      </c>
      <c r="B2101" t="s">
        <v>8</v>
      </c>
      <c r="C2101" s="3">
        <v>1128619.4165900501</v>
      </c>
      <c r="D2101" s="3"/>
      <c r="E2101" s="3">
        <v>608725.60278084199</v>
      </c>
      <c r="F2101" s="3">
        <v>1704612.8538482499</v>
      </c>
      <c r="G2101" s="1">
        <v>45473</v>
      </c>
      <c r="H2101" s="2">
        <v>45658</v>
      </c>
    </row>
    <row r="2102" spans="1:8" hidden="1" x14ac:dyDescent="0.45">
      <c r="A2102">
        <v>2100</v>
      </c>
      <c r="B2102" t="s">
        <v>8</v>
      </c>
      <c r="C2102" s="3">
        <v>962923.75590552599</v>
      </c>
      <c r="D2102" s="3"/>
      <c r="E2102" s="3">
        <v>510859.43657726003</v>
      </c>
      <c r="F2102" s="3">
        <v>1468405.1572082499</v>
      </c>
      <c r="G2102" s="1">
        <v>45473</v>
      </c>
      <c r="H2102" s="2">
        <v>45689</v>
      </c>
    </row>
    <row r="2103" spans="1:8" hidden="1" x14ac:dyDescent="0.45">
      <c r="A2103">
        <v>2101</v>
      </c>
      <c r="B2103" t="s">
        <v>8</v>
      </c>
      <c r="C2103" s="3">
        <v>1191794.5963239099</v>
      </c>
      <c r="D2103" s="3"/>
      <c r="E2103" s="3">
        <v>636950.96681749902</v>
      </c>
      <c r="F2103" s="3">
        <v>1780120.5309846301</v>
      </c>
      <c r="G2103" s="1">
        <v>45473</v>
      </c>
      <c r="H2103" s="2">
        <v>45717</v>
      </c>
    </row>
    <row r="2104" spans="1:8" hidden="1" x14ac:dyDescent="0.45">
      <c r="A2104">
        <v>2102</v>
      </c>
      <c r="B2104" t="s">
        <v>8</v>
      </c>
      <c r="C2104" s="3">
        <v>977604.81233696896</v>
      </c>
      <c r="D2104" s="3"/>
      <c r="E2104" s="3">
        <v>520040.03826176701</v>
      </c>
      <c r="F2104" s="3">
        <v>1485741.0802736699</v>
      </c>
      <c r="G2104" s="1">
        <v>45473</v>
      </c>
      <c r="H2104" s="2">
        <v>45748</v>
      </c>
    </row>
    <row r="2105" spans="1:8" hidden="1" x14ac:dyDescent="0.45">
      <c r="A2105">
        <v>2103</v>
      </c>
      <c r="B2105" t="s">
        <v>8</v>
      </c>
      <c r="C2105" s="3">
        <v>945359.03874645301</v>
      </c>
      <c r="D2105" s="3"/>
      <c r="E2105" s="3">
        <v>506799.41505802301</v>
      </c>
      <c r="F2105" s="3">
        <v>1417013.1680978001</v>
      </c>
      <c r="G2105" s="1">
        <v>45473</v>
      </c>
      <c r="H2105" s="2">
        <v>45778</v>
      </c>
    </row>
    <row r="2106" spans="1:8" hidden="1" x14ac:dyDescent="0.45">
      <c r="A2106">
        <v>2104</v>
      </c>
      <c r="B2106" t="s">
        <v>8</v>
      </c>
      <c r="C2106" s="3">
        <v>987379.50416291703</v>
      </c>
      <c r="D2106" s="3"/>
      <c r="E2106" s="3">
        <v>538179.88159450295</v>
      </c>
      <c r="F2106" s="3">
        <v>1492704.4047411501</v>
      </c>
      <c r="G2106" s="1">
        <v>45473</v>
      </c>
      <c r="H2106" s="2">
        <v>45809</v>
      </c>
    </row>
    <row r="2107" spans="1:8" hidden="1" x14ac:dyDescent="0.45">
      <c r="A2107">
        <v>2105</v>
      </c>
      <c r="B2107" t="s">
        <v>8</v>
      </c>
      <c r="C2107" s="3">
        <v>1155820.25013316</v>
      </c>
      <c r="D2107" s="3"/>
      <c r="E2107" s="3">
        <v>614933.92537830805</v>
      </c>
      <c r="F2107" s="3">
        <v>1747329.46476649</v>
      </c>
      <c r="G2107" s="1">
        <v>45473</v>
      </c>
      <c r="H2107" s="2">
        <v>45839</v>
      </c>
    </row>
    <row r="2108" spans="1:8" hidden="1" x14ac:dyDescent="0.45">
      <c r="A2108">
        <v>2106</v>
      </c>
      <c r="B2108" t="s">
        <v>8</v>
      </c>
      <c r="C2108" s="3">
        <v>1110528.2308254801</v>
      </c>
      <c r="D2108" s="3"/>
      <c r="E2108" s="3">
        <v>592261.42883869796</v>
      </c>
      <c r="F2108" s="3">
        <v>1698855.4987757399</v>
      </c>
      <c r="G2108" s="1">
        <v>45473</v>
      </c>
      <c r="H2108" s="2">
        <v>45870</v>
      </c>
    </row>
    <row r="2109" spans="1:8" hidden="1" x14ac:dyDescent="0.45">
      <c r="A2109">
        <v>2107</v>
      </c>
      <c r="B2109" t="s">
        <v>8</v>
      </c>
      <c r="C2109" s="3">
        <v>1088986.7667572801</v>
      </c>
      <c r="D2109" s="3"/>
      <c r="E2109" s="3">
        <v>555686.83403377002</v>
      </c>
      <c r="F2109" s="3">
        <v>1652467.3717939099</v>
      </c>
      <c r="G2109" s="1">
        <v>45473</v>
      </c>
      <c r="H2109" s="2">
        <v>45901</v>
      </c>
    </row>
    <row r="2110" spans="1:8" hidden="1" x14ac:dyDescent="0.45">
      <c r="A2110">
        <v>2108</v>
      </c>
      <c r="B2110" t="s">
        <v>8</v>
      </c>
      <c r="C2110" s="3">
        <v>970741.96283176495</v>
      </c>
      <c r="D2110" s="3"/>
      <c r="E2110" s="3">
        <v>486943.37501332897</v>
      </c>
      <c r="F2110" s="3">
        <v>1521513.2404467501</v>
      </c>
      <c r="G2110" s="1">
        <v>45473</v>
      </c>
      <c r="H2110" s="2">
        <v>45931</v>
      </c>
    </row>
    <row r="2111" spans="1:8" hidden="1" x14ac:dyDescent="0.45">
      <c r="A2111">
        <v>2109</v>
      </c>
      <c r="B2111" t="s">
        <v>7</v>
      </c>
      <c r="C2111" s="3">
        <v>131448.985702834</v>
      </c>
      <c r="D2111" s="3">
        <v>28250.62</v>
      </c>
      <c r="E2111" s="3">
        <v>82608.462819029402</v>
      </c>
      <c r="F2111" s="3">
        <v>183792.488689486</v>
      </c>
      <c r="G2111" s="1">
        <v>45504</v>
      </c>
      <c r="H2111" s="2">
        <v>44228</v>
      </c>
    </row>
    <row r="2112" spans="1:8" hidden="1" x14ac:dyDescent="0.45">
      <c r="A2112">
        <v>2110</v>
      </c>
      <c r="B2112" t="s">
        <v>7</v>
      </c>
      <c r="C2112" s="3">
        <v>250002.23951175899</v>
      </c>
      <c r="D2112" s="3">
        <v>36247.919999999998</v>
      </c>
      <c r="E2112" s="3">
        <v>172406.79118969399</v>
      </c>
      <c r="F2112" s="3">
        <v>330420.31799653202</v>
      </c>
      <c r="G2112" s="1">
        <v>45504</v>
      </c>
      <c r="H2112" s="2">
        <v>44256</v>
      </c>
    </row>
    <row r="2113" spans="1:8" hidden="1" x14ac:dyDescent="0.45">
      <c r="A2113">
        <v>2111</v>
      </c>
      <c r="B2113" t="s">
        <v>7</v>
      </c>
      <c r="C2113" s="3">
        <v>162792.28780407101</v>
      </c>
      <c r="D2113" s="3">
        <v>14721.48</v>
      </c>
      <c r="E2113" s="3">
        <v>97863.953060704604</v>
      </c>
      <c r="F2113" s="3">
        <v>224831.10409476701</v>
      </c>
      <c r="G2113" s="1">
        <v>45504</v>
      </c>
      <c r="H2113" s="2">
        <v>44287</v>
      </c>
    </row>
    <row r="2114" spans="1:8" hidden="1" x14ac:dyDescent="0.45">
      <c r="A2114">
        <v>2112</v>
      </c>
      <c r="B2114" t="s">
        <v>7</v>
      </c>
      <c r="C2114" s="3">
        <v>199194.67117419001</v>
      </c>
      <c r="D2114" s="3">
        <v>94346.71</v>
      </c>
      <c r="E2114" s="3">
        <v>126426.37744373</v>
      </c>
      <c r="F2114" s="3">
        <v>279911.70053142699</v>
      </c>
      <c r="G2114" s="1">
        <v>45504</v>
      </c>
      <c r="H2114" s="2">
        <v>44317</v>
      </c>
    </row>
    <row r="2115" spans="1:8" hidden="1" x14ac:dyDescent="0.45">
      <c r="A2115">
        <v>2113</v>
      </c>
      <c r="B2115" t="s">
        <v>7</v>
      </c>
      <c r="C2115" s="3">
        <v>373945.64702657802</v>
      </c>
      <c r="D2115" s="3">
        <v>970740.72</v>
      </c>
      <c r="E2115" s="3">
        <v>241451.22664597601</v>
      </c>
      <c r="F2115" s="3">
        <v>515789.86213668302</v>
      </c>
      <c r="G2115" s="1">
        <v>45504</v>
      </c>
      <c r="H2115" s="2">
        <v>44348</v>
      </c>
    </row>
    <row r="2116" spans="1:8" hidden="1" x14ac:dyDescent="0.45">
      <c r="A2116">
        <v>2114</v>
      </c>
      <c r="B2116" t="s">
        <v>7</v>
      </c>
      <c r="C2116" s="3">
        <v>873907.35551841801</v>
      </c>
      <c r="D2116" s="3">
        <v>1798271.24</v>
      </c>
      <c r="E2116" s="3">
        <v>595329.93796938099</v>
      </c>
      <c r="F2116" s="3">
        <v>1158989.62578428</v>
      </c>
      <c r="G2116" s="1">
        <v>45504</v>
      </c>
      <c r="H2116" s="2">
        <v>44378</v>
      </c>
    </row>
    <row r="2117" spans="1:8" hidden="1" x14ac:dyDescent="0.45">
      <c r="A2117">
        <v>2115</v>
      </c>
      <c r="B2117" t="s">
        <v>7</v>
      </c>
      <c r="C2117" s="3">
        <v>1000104.2377299001</v>
      </c>
      <c r="D2117" s="3">
        <v>700449.31</v>
      </c>
      <c r="E2117" s="3">
        <v>671181.30499552505</v>
      </c>
      <c r="F2117" s="3">
        <v>1355218.20804804</v>
      </c>
      <c r="G2117" s="1">
        <v>45504</v>
      </c>
      <c r="H2117" s="2">
        <v>44409</v>
      </c>
    </row>
    <row r="2118" spans="1:8" hidden="1" x14ac:dyDescent="0.45">
      <c r="A2118">
        <v>2116</v>
      </c>
      <c r="B2118" t="s">
        <v>7</v>
      </c>
      <c r="C2118" s="3">
        <v>1008660.01273096</v>
      </c>
      <c r="D2118" s="3">
        <v>1784906.52</v>
      </c>
      <c r="E2118" s="3">
        <v>680444.75794418296</v>
      </c>
      <c r="F2118" s="3">
        <v>1355335.2304356601</v>
      </c>
      <c r="G2118" s="1">
        <v>45504</v>
      </c>
      <c r="H2118" s="2">
        <v>44440</v>
      </c>
    </row>
    <row r="2119" spans="1:8" hidden="1" x14ac:dyDescent="0.45">
      <c r="A2119">
        <v>2117</v>
      </c>
      <c r="B2119" t="s">
        <v>7</v>
      </c>
      <c r="C2119" s="3">
        <v>940330.297120312</v>
      </c>
      <c r="D2119" s="3">
        <v>706422.77</v>
      </c>
      <c r="E2119" s="3">
        <v>606660.54890142998</v>
      </c>
      <c r="F2119" s="3">
        <v>1295109.90901888</v>
      </c>
      <c r="G2119" s="1">
        <v>45504</v>
      </c>
      <c r="H2119" s="2">
        <v>44470</v>
      </c>
    </row>
    <row r="2120" spans="1:8" hidden="1" x14ac:dyDescent="0.45">
      <c r="A2120">
        <v>2118</v>
      </c>
      <c r="B2120" t="s">
        <v>7</v>
      </c>
      <c r="C2120" s="3">
        <v>1898999.9914152899</v>
      </c>
      <c r="D2120" s="3">
        <v>3115611.92</v>
      </c>
      <c r="E2120" s="3">
        <v>1383696.6601934</v>
      </c>
      <c r="F2120" s="3">
        <v>2426852.8855493399</v>
      </c>
      <c r="G2120" s="1">
        <v>45504</v>
      </c>
      <c r="H2120" s="2">
        <v>44501</v>
      </c>
    </row>
    <row r="2121" spans="1:8" hidden="1" x14ac:dyDescent="0.45">
      <c r="A2121">
        <v>2119</v>
      </c>
      <c r="B2121" t="s">
        <v>7</v>
      </c>
      <c r="C2121" s="3">
        <v>840626.581973486</v>
      </c>
      <c r="D2121" s="3">
        <v>227049.91</v>
      </c>
      <c r="E2121" s="3">
        <v>510119.24892559199</v>
      </c>
      <c r="F2121" s="3">
        <v>1198936.6092006599</v>
      </c>
      <c r="G2121" s="1">
        <v>45504</v>
      </c>
      <c r="H2121" s="2">
        <v>44531</v>
      </c>
    </row>
    <row r="2122" spans="1:8" hidden="1" x14ac:dyDescent="0.45">
      <c r="A2122">
        <v>2120</v>
      </c>
      <c r="B2122" t="s">
        <v>7</v>
      </c>
      <c r="C2122" s="3">
        <v>1252873.7047972099</v>
      </c>
      <c r="D2122" s="3">
        <v>1231496.1499999999</v>
      </c>
      <c r="E2122" s="3">
        <v>825295.13193116896</v>
      </c>
      <c r="F2122" s="3">
        <v>1699259.4660612501</v>
      </c>
      <c r="G2122" s="1">
        <v>45504</v>
      </c>
      <c r="H2122" s="2">
        <v>44562</v>
      </c>
    </row>
    <row r="2123" spans="1:8" hidden="1" x14ac:dyDescent="0.45">
      <c r="A2123">
        <v>2121</v>
      </c>
      <c r="B2123" t="s">
        <v>7</v>
      </c>
      <c r="C2123" s="3">
        <v>1062185.4207073699</v>
      </c>
      <c r="D2123" s="3">
        <v>1031231.86</v>
      </c>
      <c r="E2123" s="3">
        <v>671886.25239120703</v>
      </c>
      <c r="F2123" s="3">
        <v>1497108.6028100401</v>
      </c>
      <c r="G2123" s="1">
        <v>45504</v>
      </c>
      <c r="H2123" s="2">
        <v>44593</v>
      </c>
    </row>
    <row r="2124" spans="1:8" hidden="1" x14ac:dyDescent="0.45">
      <c r="A2124">
        <v>2122</v>
      </c>
      <c r="B2124" t="s">
        <v>7</v>
      </c>
      <c r="C2124" s="3">
        <v>1581389.42297304</v>
      </c>
      <c r="D2124" s="3">
        <v>2866780.02</v>
      </c>
      <c r="E2124" s="3">
        <v>1086009.22329769</v>
      </c>
      <c r="F2124" s="3">
        <v>2103849.00851569</v>
      </c>
      <c r="G2124" s="1">
        <v>45504</v>
      </c>
      <c r="H2124" s="2">
        <v>44621</v>
      </c>
    </row>
    <row r="2125" spans="1:8" hidden="1" x14ac:dyDescent="0.45">
      <c r="A2125">
        <v>2123</v>
      </c>
      <c r="B2125" t="s">
        <v>7</v>
      </c>
      <c r="C2125" s="3">
        <v>1061093.15887918</v>
      </c>
      <c r="D2125" s="3">
        <v>106305.83</v>
      </c>
      <c r="E2125" s="3">
        <v>659228.26821662195</v>
      </c>
      <c r="F2125" s="3">
        <v>1486557.63269426</v>
      </c>
      <c r="G2125" s="1">
        <v>45504</v>
      </c>
      <c r="H2125" s="2">
        <v>44652</v>
      </c>
    </row>
    <row r="2126" spans="1:8" hidden="1" x14ac:dyDescent="0.45">
      <c r="A2126">
        <v>2124</v>
      </c>
      <c r="B2126" t="s">
        <v>7</v>
      </c>
      <c r="C2126" s="3">
        <v>1114206.2277508299</v>
      </c>
      <c r="D2126" s="3">
        <v>667164.73</v>
      </c>
      <c r="E2126" s="3">
        <v>715438.34349100594</v>
      </c>
      <c r="F2126" s="3">
        <v>1543512.1601213501</v>
      </c>
      <c r="G2126" s="1">
        <v>45504</v>
      </c>
      <c r="H2126" s="2">
        <v>44682</v>
      </c>
    </row>
    <row r="2127" spans="1:8" hidden="1" x14ac:dyDescent="0.45">
      <c r="A2127">
        <v>2125</v>
      </c>
      <c r="B2127" t="s">
        <v>7</v>
      </c>
      <c r="C2127" s="3">
        <v>1248772.2102129699</v>
      </c>
      <c r="D2127" s="3">
        <v>1398761.09</v>
      </c>
      <c r="E2127" s="3">
        <v>799649.04210892494</v>
      </c>
      <c r="F2127" s="3">
        <v>1742411.7787210599</v>
      </c>
      <c r="G2127" s="1">
        <v>45504</v>
      </c>
      <c r="H2127" s="2">
        <v>44713</v>
      </c>
    </row>
    <row r="2128" spans="1:8" hidden="1" x14ac:dyDescent="0.45">
      <c r="A2128">
        <v>2126</v>
      </c>
      <c r="B2128" t="s">
        <v>7</v>
      </c>
      <c r="C2128" s="3">
        <v>1395055.3748327601</v>
      </c>
      <c r="D2128" s="3">
        <v>931475.54</v>
      </c>
      <c r="E2128" s="3">
        <v>895858.70576984296</v>
      </c>
      <c r="F2128" s="3">
        <v>1907162.6475283999</v>
      </c>
      <c r="G2128" s="1">
        <v>45504</v>
      </c>
      <c r="H2128" s="2">
        <v>44743</v>
      </c>
    </row>
    <row r="2129" spans="1:8" hidden="1" x14ac:dyDescent="0.45">
      <c r="A2129">
        <v>2127</v>
      </c>
      <c r="B2129" t="s">
        <v>7</v>
      </c>
      <c r="C2129" s="3">
        <v>1295944.0698085299</v>
      </c>
      <c r="D2129" s="3">
        <v>1335916.6499999999</v>
      </c>
      <c r="E2129" s="3">
        <v>833362.631927134</v>
      </c>
      <c r="F2129" s="3">
        <v>1801845.4976814201</v>
      </c>
      <c r="G2129" s="1">
        <v>45504</v>
      </c>
      <c r="H2129" s="2">
        <v>44774</v>
      </c>
    </row>
    <row r="2130" spans="1:8" hidden="1" x14ac:dyDescent="0.45">
      <c r="A2130">
        <v>2128</v>
      </c>
      <c r="B2130" t="s">
        <v>7</v>
      </c>
      <c r="C2130" s="3">
        <v>1248837.85217351</v>
      </c>
      <c r="D2130" s="3">
        <v>976647.27</v>
      </c>
      <c r="E2130" s="3">
        <v>788783.12117323896</v>
      </c>
      <c r="F2130" s="3">
        <v>1745778.9580276799</v>
      </c>
      <c r="G2130" s="1">
        <v>45504</v>
      </c>
      <c r="H2130" s="2">
        <v>44805</v>
      </c>
    </row>
    <row r="2131" spans="1:8" hidden="1" x14ac:dyDescent="0.45">
      <c r="A2131">
        <v>2129</v>
      </c>
      <c r="B2131" t="s">
        <v>7</v>
      </c>
      <c r="C2131" s="3">
        <v>1079255.1663411099</v>
      </c>
      <c r="D2131" s="3">
        <v>975982.86</v>
      </c>
      <c r="E2131" s="3">
        <v>663106.09423839999</v>
      </c>
      <c r="F2131" s="3">
        <v>1527881.6425724099</v>
      </c>
      <c r="G2131" s="1">
        <v>45504</v>
      </c>
      <c r="H2131" s="2">
        <v>44835</v>
      </c>
    </row>
    <row r="2132" spans="1:8" hidden="1" x14ac:dyDescent="0.45">
      <c r="A2132">
        <v>2130</v>
      </c>
      <c r="B2132" t="s">
        <v>7</v>
      </c>
      <c r="C2132" s="3">
        <v>2195129.2789998902</v>
      </c>
      <c r="D2132" s="3">
        <v>2010415.16</v>
      </c>
      <c r="E2132" s="3">
        <v>1483316.77299324</v>
      </c>
      <c r="F2132" s="3">
        <v>2942103.0566326999</v>
      </c>
      <c r="G2132" s="1">
        <v>45504</v>
      </c>
      <c r="H2132" s="2">
        <v>44866</v>
      </c>
    </row>
    <row r="2133" spans="1:8" hidden="1" x14ac:dyDescent="0.45">
      <c r="A2133">
        <v>2131</v>
      </c>
      <c r="B2133" t="s">
        <v>7</v>
      </c>
      <c r="C2133" s="3">
        <v>826297.31165676995</v>
      </c>
      <c r="D2133" s="3">
        <v>348929.42</v>
      </c>
      <c r="E2133" s="3">
        <v>486349.70857310499</v>
      </c>
      <c r="F2133" s="3">
        <v>1193188.8009558499</v>
      </c>
      <c r="G2133" s="1">
        <v>45504</v>
      </c>
      <c r="H2133" s="2">
        <v>44896</v>
      </c>
    </row>
    <row r="2134" spans="1:8" hidden="1" x14ac:dyDescent="0.45">
      <c r="A2134">
        <v>2132</v>
      </c>
      <c r="B2134" t="s">
        <v>7</v>
      </c>
      <c r="C2134" s="3">
        <v>1202326.68757865</v>
      </c>
      <c r="D2134" s="3">
        <v>1096298.6399999999</v>
      </c>
      <c r="E2134" s="3">
        <v>771650.053768688</v>
      </c>
      <c r="F2134" s="3">
        <v>1676302.17511916</v>
      </c>
      <c r="G2134" s="1">
        <v>45504</v>
      </c>
      <c r="H2134" s="2">
        <v>44927</v>
      </c>
    </row>
    <row r="2135" spans="1:8" hidden="1" x14ac:dyDescent="0.45">
      <c r="A2135">
        <v>2133</v>
      </c>
      <c r="B2135" t="s">
        <v>7</v>
      </c>
      <c r="C2135" s="3">
        <v>1018792.60241548</v>
      </c>
      <c r="D2135" s="3">
        <v>1036928.47</v>
      </c>
      <c r="E2135" s="3">
        <v>623883.73343321797</v>
      </c>
      <c r="F2135" s="3">
        <v>1454939.77747548</v>
      </c>
      <c r="G2135" s="1">
        <v>45504</v>
      </c>
      <c r="H2135" s="2">
        <v>44958</v>
      </c>
    </row>
    <row r="2136" spans="1:8" hidden="1" x14ac:dyDescent="0.45">
      <c r="A2136">
        <v>2134</v>
      </c>
      <c r="B2136" t="s">
        <v>7</v>
      </c>
      <c r="C2136" s="3">
        <v>1386285.1596832401</v>
      </c>
      <c r="D2136" s="3">
        <v>660363.89</v>
      </c>
      <c r="E2136" s="3">
        <v>891810.84595354996</v>
      </c>
      <c r="F2136" s="3">
        <v>1919403.77269495</v>
      </c>
      <c r="G2136" s="1">
        <v>45504</v>
      </c>
      <c r="H2136" s="2">
        <v>44986</v>
      </c>
    </row>
    <row r="2137" spans="1:8" hidden="1" x14ac:dyDescent="0.45">
      <c r="A2137">
        <v>2135</v>
      </c>
      <c r="B2137" t="s">
        <v>7</v>
      </c>
      <c r="C2137" s="3">
        <v>964550.06588936097</v>
      </c>
      <c r="D2137" s="3">
        <v>1093282.48</v>
      </c>
      <c r="E2137" s="3">
        <v>580696.91057035804</v>
      </c>
      <c r="F2137" s="3">
        <v>1366448.91432517</v>
      </c>
      <c r="G2137" s="1">
        <v>45504</v>
      </c>
      <c r="H2137" s="2">
        <v>45017</v>
      </c>
    </row>
    <row r="2138" spans="1:8" hidden="1" x14ac:dyDescent="0.45">
      <c r="A2138">
        <v>2136</v>
      </c>
      <c r="B2138" t="s">
        <v>7</v>
      </c>
      <c r="C2138" s="3">
        <v>1004931.84801473</v>
      </c>
      <c r="D2138" s="3">
        <v>1212297.6200000001</v>
      </c>
      <c r="E2138" s="3">
        <v>613011.97994657001</v>
      </c>
      <c r="F2138" s="3">
        <v>1438531.3859613901</v>
      </c>
      <c r="G2138" s="1">
        <v>45504</v>
      </c>
      <c r="H2138" s="2">
        <v>45047</v>
      </c>
    </row>
    <row r="2139" spans="1:8" hidden="1" x14ac:dyDescent="0.45">
      <c r="A2139">
        <v>2137</v>
      </c>
      <c r="B2139" t="s">
        <v>7</v>
      </c>
      <c r="C2139" s="3">
        <v>1090311.51482645</v>
      </c>
      <c r="D2139" s="3">
        <v>1041503.83</v>
      </c>
      <c r="E2139" s="3">
        <v>668227.03524196998</v>
      </c>
      <c r="F2139" s="3">
        <v>1546042.4720492701</v>
      </c>
      <c r="G2139" s="1">
        <v>45504</v>
      </c>
      <c r="H2139" s="2">
        <v>45078</v>
      </c>
    </row>
    <row r="2140" spans="1:8" hidden="1" x14ac:dyDescent="0.45">
      <c r="A2140">
        <v>2138</v>
      </c>
      <c r="B2140" t="s">
        <v>7</v>
      </c>
      <c r="C2140" s="3">
        <v>1209459.2905385499</v>
      </c>
      <c r="D2140" s="3">
        <v>1103446</v>
      </c>
      <c r="E2140" s="3">
        <v>752219.14469393203</v>
      </c>
      <c r="F2140" s="3">
        <v>1691553.9849465401</v>
      </c>
      <c r="G2140" s="1">
        <v>45504</v>
      </c>
      <c r="H2140" s="2">
        <v>45108</v>
      </c>
    </row>
    <row r="2141" spans="1:8" hidden="1" x14ac:dyDescent="0.45">
      <c r="A2141">
        <v>2139</v>
      </c>
      <c r="B2141" t="s">
        <v>7</v>
      </c>
      <c r="C2141" s="3">
        <v>1193444.41766356</v>
      </c>
      <c r="D2141" s="3">
        <v>1157502.68</v>
      </c>
      <c r="E2141" s="3">
        <v>717853.73236178199</v>
      </c>
      <c r="F2141" s="3">
        <v>1703304.42537971</v>
      </c>
      <c r="G2141" s="1">
        <v>45504</v>
      </c>
      <c r="H2141" s="2">
        <v>45139</v>
      </c>
    </row>
    <row r="2142" spans="1:8" hidden="1" x14ac:dyDescent="0.45">
      <c r="A2142">
        <v>2140</v>
      </c>
      <c r="B2142" t="s">
        <v>7</v>
      </c>
      <c r="C2142" s="3">
        <v>1161585.7379594301</v>
      </c>
      <c r="D2142" s="3">
        <v>1330269.6499999999</v>
      </c>
      <c r="E2142" s="3">
        <v>704360.518810921</v>
      </c>
      <c r="F2142" s="3">
        <v>1656674.10809913</v>
      </c>
      <c r="G2142" s="1">
        <v>45504</v>
      </c>
      <c r="H2142" s="2">
        <v>45170</v>
      </c>
    </row>
    <row r="2143" spans="1:8" hidden="1" x14ac:dyDescent="0.45">
      <c r="A2143">
        <v>2141</v>
      </c>
      <c r="B2143" t="s">
        <v>7</v>
      </c>
      <c r="C2143" s="3">
        <v>1037767.77155062</v>
      </c>
      <c r="D2143" s="3">
        <v>1219536.81</v>
      </c>
      <c r="E2143" s="3">
        <v>623276.16311351396</v>
      </c>
      <c r="F2143" s="3">
        <v>1485608.10339494</v>
      </c>
      <c r="G2143" s="1">
        <v>45504</v>
      </c>
      <c r="H2143" s="2">
        <v>45200</v>
      </c>
    </row>
    <row r="2144" spans="1:8" hidden="1" x14ac:dyDescent="0.45">
      <c r="A2144">
        <v>2142</v>
      </c>
      <c r="B2144" t="s">
        <v>7</v>
      </c>
      <c r="C2144" s="3">
        <v>2032358.4227764099</v>
      </c>
      <c r="D2144" s="3">
        <v>2038136.91</v>
      </c>
      <c r="E2144" s="3">
        <v>1315513.5086337901</v>
      </c>
      <c r="F2144" s="3">
        <v>2805129.0541897002</v>
      </c>
      <c r="G2144" s="1">
        <v>45504</v>
      </c>
      <c r="H2144" s="2">
        <v>45231</v>
      </c>
    </row>
    <row r="2145" spans="1:8" hidden="1" x14ac:dyDescent="0.45">
      <c r="A2145">
        <v>2143</v>
      </c>
      <c r="B2145" t="s">
        <v>7</v>
      </c>
      <c r="C2145" s="3">
        <v>839919.34725473903</v>
      </c>
      <c r="D2145" s="3">
        <v>950044.03</v>
      </c>
      <c r="E2145" s="3">
        <v>476430.92347740801</v>
      </c>
      <c r="F2145" s="3">
        <v>1228669.03442587</v>
      </c>
      <c r="G2145" s="1">
        <v>45504</v>
      </c>
      <c r="H2145" s="2">
        <v>45261</v>
      </c>
    </row>
    <row r="2146" spans="1:8" hidden="1" x14ac:dyDescent="0.45">
      <c r="A2146">
        <v>2144</v>
      </c>
      <c r="B2146" t="s">
        <v>7</v>
      </c>
      <c r="C2146" s="3">
        <v>1215254.7905957999</v>
      </c>
      <c r="D2146" s="3">
        <v>1410224.61</v>
      </c>
      <c r="E2146" s="3">
        <v>747201.80553366605</v>
      </c>
      <c r="F2146" s="3">
        <v>1715823.7502349699</v>
      </c>
      <c r="G2146" s="1">
        <v>45504</v>
      </c>
      <c r="H2146" s="2">
        <v>45292</v>
      </c>
    </row>
    <row r="2147" spans="1:8" hidden="1" x14ac:dyDescent="0.45">
      <c r="A2147">
        <v>2145</v>
      </c>
      <c r="B2147" t="s">
        <v>7</v>
      </c>
      <c r="C2147" s="3">
        <v>1053222.56629177</v>
      </c>
      <c r="D2147" s="3">
        <v>1062970.03</v>
      </c>
      <c r="E2147" s="3">
        <v>623382.57181393402</v>
      </c>
      <c r="F2147" s="3">
        <v>1522447.8411119999</v>
      </c>
      <c r="G2147" s="1">
        <v>45504</v>
      </c>
      <c r="H2147" s="2">
        <v>45323</v>
      </c>
    </row>
    <row r="2148" spans="1:8" hidden="1" x14ac:dyDescent="0.45">
      <c r="A2148">
        <v>2146</v>
      </c>
      <c r="B2148" t="s">
        <v>7</v>
      </c>
      <c r="C2148" s="3">
        <v>1351766.0679995399</v>
      </c>
      <c r="D2148" s="3">
        <v>1085647</v>
      </c>
      <c r="E2148" s="3">
        <v>829710.87629716995</v>
      </c>
      <c r="F2148" s="3">
        <v>1917758.35990418</v>
      </c>
      <c r="G2148" s="1">
        <v>45504</v>
      </c>
      <c r="H2148" s="2">
        <v>45352</v>
      </c>
    </row>
    <row r="2149" spans="1:8" hidden="1" x14ac:dyDescent="0.45">
      <c r="A2149">
        <v>2147</v>
      </c>
      <c r="B2149" t="s">
        <v>7</v>
      </c>
      <c r="C2149" s="3">
        <v>1063528.5128957201</v>
      </c>
      <c r="D2149" s="3">
        <v>1633642.04</v>
      </c>
      <c r="E2149" s="3">
        <v>619191.94724219502</v>
      </c>
      <c r="F2149" s="3">
        <v>1546736.75522697</v>
      </c>
      <c r="G2149" s="1">
        <v>45504</v>
      </c>
      <c r="H2149" s="2">
        <v>45383</v>
      </c>
    </row>
    <row r="2150" spans="1:8" hidden="1" x14ac:dyDescent="0.45">
      <c r="A2150">
        <v>2148</v>
      </c>
      <c r="B2150" t="s">
        <v>7</v>
      </c>
      <c r="C2150" s="3">
        <v>1089764.7147142601</v>
      </c>
      <c r="D2150" s="3">
        <v>989105.12</v>
      </c>
      <c r="E2150" s="3">
        <v>625112.85779414698</v>
      </c>
      <c r="F2150" s="3">
        <v>1580562.0179286001</v>
      </c>
      <c r="G2150" s="1">
        <v>45504</v>
      </c>
      <c r="H2150" s="2">
        <v>45413</v>
      </c>
    </row>
    <row r="2151" spans="1:8" hidden="1" x14ac:dyDescent="0.45">
      <c r="A2151">
        <v>2149</v>
      </c>
      <c r="B2151" t="s">
        <v>7</v>
      </c>
      <c r="C2151" s="3">
        <v>1134122.93440009</v>
      </c>
      <c r="D2151" s="3">
        <v>946467.62</v>
      </c>
      <c r="E2151" s="3">
        <v>667232.80584869499</v>
      </c>
      <c r="F2151" s="3">
        <v>1640571.08086333</v>
      </c>
      <c r="G2151" s="1">
        <v>45504</v>
      </c>
      <c r="H2151" s="2">
        <v>45444</v>
      </c>
    </row>
    <row r="2152" spans="1:8" hidden="1" x14ac:dyDescent="0.45">
      <c r="A2152">
        <v>2150</v>
      </c>
      <c r="B2152" t="s">
        <v>7</v>
      </c>
      <c r="C2152" s="3">
        <v>1267249.36962494</v>
      </c>
      <c r="D2152" s="3">
        <v>1113439.3899999999</v>
      </c>
      <c r="E2152" s="3">
        <v>745785.48263446905</v>
      </c>
      <c r="F2152" s="3">
        <v>1814790.47748582</v>
      </c>
      <c r="G2152" s="1">
        <v>45504</v>
      </c>
      <c r="H2152" s="2">
        <v>45474</v>
      </c>
    </row>
    <row r="2153" spans="1:8" hidden="1" x14ac:dyDescent="0.45">
      <c r="A2153">
        <v>2151</v>
      </c>
      <c r="B2153" t="s">
        <v>8</v>
      </c>
      <c r="C2153" s="3">
        <v>1252828.5005254301</v>
      </c>
      <c r="D2153" s="3">
        <v>1087847.22</v>
      </c>
      <c r="E2153" s="3">
        <v>715872.42937026406</v>
      </c>
      <c r="F2153" s="3">
        <v>1845212.07014815</v>
      </c>
      <c r="G2153" s="1">
        <v>45504</v>
      </c>
      <c r="H2153" s="2">
        <v>45505</v>
      </c>
    </row>
    <row r="2154" spans="1:8" hidden="1" x14ac:dyDescent="0.45">
      <c r="A2154">
        <v>2152</v>
      </c>
      <c r="B2154" t="s">
        <v>8</v>
      </c>
      <c r="C2154" s="3">
        <v>1187687.6997632801</v>
      </c>
      <c r="D2154" s="3">
        <v>1781833.92</v>
      </c>
      <c r="E2154" s="3">
        <v>669566.21188760805</v>
      </c>
      <c r="F2154" s="3">
        <v>1746560.4263899</v>
      </c>
      <c r="G2154" s="1">
        <v>45504</v>
      </c>
      <c r="H2154" s="2">
        <v>45536</v>
      </c>
    </row>
    <row r="2155" spans="1:8" hidden="1" x14ac:dyDescent="0.45">
      <c r="A2155">
        <v>2153</v>
      </c>
      <c r="B2155" t="s">
        <v>8</v>
      </c>
      <c r="C2155" s="3">
        <v>1047829.12640448</v>
      </c>
      <c r="D2155" s="3">
        <v>667289.48</v>
      </c>
      <c r="E2155" s="3">
        <v>593825.28018016298</v>
      </c>
      <c r="F2155" s="3">
        <v>1537976.2991514299</v>
      </c>
      <c r="G2155" s="1">
        <v>45504</v>
      </c>
      <c r="H2155" s="2">
        <v>45566</v>
      </c>
    </row>
    <row r="2156" spans="1:8" hidden="1" x14ac:dyDescent="0.45">
      <c r="A2156">
        <v>2154</v>
      </c>
      <c r="B2156" t="s">
        <v>8</v>
      </c>
      <c r="C2156" s="3">
        <v>1945955.9224668599</v>
      </c>
      <c r="D2156" s="3"/>
      <c r="E2156" s="3">
        <v>1186773.52248099</v>
      </c>
      <c r="F2156" s="3">
        <v>2739633.72057907</v>
      </c>
      <c r="G2156" s="1">
        <v>45504</v>
      </c>
      <c r="H2156" s="2">
        <v>45597</v>
      </c>
    </row>
    <row r="2157" spans="1:8" hidden="1" x14ac:dyDescent="0.45">
      <c r="A2157">
        <v>2155</v>
      </c>
      <c r="B2157" t="s">
        <v>8</v>
      </c>
      <c r="C2157" s="3">
        <v>785678.74234580097</v>
      </c>
      <c r="D2157" s="3"/>
      <c r="E2157" s="3">
        <v>418132.303144456</v>
      </c>
      <c r="F2157" s="3">
        <v>1188984.87335234</v>
      </c>
      <c r="G2157" s="1">
        <v>45504</v>
      </c>
      <c r="H2157" s="2">
        <v>45627</v>
      </c>
    </row>
    <row r="2158" spans="1:8" hidden="1" x14ac:dyDescent="0.45">
      <c r="A2158">
        <v>2156</v>
      </c>
      <c r="B2158" t="s">
        <v>8</v>
      </c>
      <c r="C2158" s="3">
        <v>1106161.7251892199</v>
      </c>
      <c r="D2158" s="3"/>
      <c r="E2158" s="3">
        <v>643507.11757876398</v>
      </c>
      <c r="F2158" s="3">
        <v>1625376.8432873299</v>
      </c>
      <c r="G2158" s="1">
        <v>45504</v>
      </c>
      <c r="H2158" s="2">
        <v>45658</v>
      </c>
    </row>
    <row r="2159" spans="1:8" hidden="1" x14ac:dyDescent="0.45">
      <c r="A2159">
        <v>2157</v>
      </c>
      <c r="B2159" t="s">
        <v>8</v>
      </c>
      <c r="C2159" s="3">
        <v>959679.36744092999</v>
      </c>
      <c r="D2159" s="3"/>
      <c r="E2159" s="3">
        <v>529179.27879622998</v>
      </c>
      <c r="F2159" s="3">
        <v>1439059.92746124</v>
      </c>
      <c r="G2159" s="1">
        <v>45504</v>
      </c>
      <c r="H2159" s="2">
        <v>45689</v>
      </c>
    </row>
    <row r="2160" spans="1:8" hidden="1" x14ac:dyDescent="0.45">
      <c r="A2160">
        <v>2158</v>
      </c>
      <c r="B2160" t="s">
        <v>8</v>
      </c>
      <c r="C2160" s="3">
        <v>1173966.3662553199</v>
      </c>
      <c r="D2160" s="3"/>
      <c r="E2160" s="3">
        <v>670385.06488056795</v>
      </c>
      <c r="F2160" s="3">
        <v>1730708.11622285</v>
      </c>
      <c r="G2160" s="1">
        <v>45504</v>
      </c>
      <c r="H2160" s="2">
        <v>45717</v>
      </c>
    </row>
    <row r="2161" spans="1:8" hidden="1" x14ac:dyDescent="0.45">
      <c r="A2161">
        <v>2159</v>
      </c>
      <c r="B2161" t="s">
        <v>8</v>
      </c>
      <c r="C2161" s="3">
        <v>972750.60693667503</v>
      </c>
      <c r="D2161" s="3"/>
      <c r="E2161" s="3">
        <v>544208.31101267098</v>
      </c>
      <c r="F2161" s="3">
        <v>1454674.1240107701</v>
      </c>
      <c r="G2161" s="1">
        <v>45504</v>
      </c>
      <c r="H2161" s="2">
        <v>45748</v>
      </c>
    </row>
    <row r="2162" spans="1:8" hidden="1" x14ac:dyDescent="0.45">
      <c r="A2162">
        <v>2160</v>
      </c>
      <c r="B2162" t="s">
        <v>8</v>
      </c>
      <c r="C2162" s="3">
        <v>941846.63971070002</v>
      </c>
      <c r="D2162" s="3"/>
      <c r="E2162" s="3">
        <v>504821.95941196202</v>
      </c>
      <c r="F2162" s="3">
        <v>1412780.2717762</v>
      </c>
      <c r="G2162" s="1">
        <v>45504</v>
      </c>
      <c r="H2162" s="2">
        <v>45778</v>
      </c>
    </row>
    <row r="2163" spans="1:8" hidden="1" x14ac:dyDescent="0.45">
      <c r="A2163">
        <v>2161</v>
      </c>
      <c r="B2163" t="s">
        <v>8</v>
      </c>
      <c r="C2163" s="3">
        <v>987291.42656085698</v>
      </c>
      <c r="D2163" s="3"/>
      <c r="E2163" s="3">
        <v>557995.23922021699</v>
      </c>
      <c r="F2163" s="3">
        <v>1454463.6848865501</v>
      </c>
      <c r="G2163" s="1">
        <v>45504</v>
      </c>
      <c r="H2163" s="2">
        <v>45809</v>
      </c>
    </row>
    <row r="2164" spans="1:8" hidden="1" x14ac:dyDescent="0.45">
      <c r="A2164">
        <v>2162</v>
      </c>
      <c r="B2164" t="s">
        <v>8</v>
      </c>
      <c r="C2164" s="3">
        <v>1069237.5052966799</v>
      </c>
      <c r="D2164" s="3"/>
      <c r="E2164" s="3">
        <v>612082.37967636494</v>
      </c>
      <c r="F2164" s="3">
        <v>1567240.5989127001</v>
      </c>
      <c r="G2164" s="1">
        <v>45504</v>
      </c>
      <c r="H2164" s="2">
        <v>45839</v>
      </c>
    </row>
    <row r="2165" spans="1:8" hidden="1" x14ac:dyDescent="0.45">
      <c r="A2165">
        <v>2163</v>
      </c>
      <c r="B2165" t="s">
        <v>8</v>
      </c>
      <c r="C2165" s="3">
        <v>1110397.9429677699</v>
      </c>
      <c r="D2165" s="3"/>
      <c r="E2165" s="3">
        <v>620728.71497464296</v>
      </c>
      <c r="F2165" s="3">
        <v>1664998.95435773</v>
      </c>
      <c r="G2165" s="1">
        <v>45504</v>
      </c>
      <c r="H2165" s="2">
        <v>45870</v>
      </c>
    </row>
    <row r="2166" spans="1:8" hidden="1" x14ac:dyDescent="0.45">
      <c r="A2166">
        <v>2164</v>
      </c>
      <c r="B2166" t="s">
        <v>8</v>
      </c>
      <c r="C2166" s="3">
        <v>1070326.06876983</v>
      </c>
      <c r="D2166" s="3"/>
      <c r="E2166" s="3">
        <v>575376.13793040602</v>
      </c>
      <c r="F2166" s="3">
        <v>1600793.81278016</v>
      </c>
      <c r="G2166" s="1">
        <v>45504</v>
      </c>
      <c r="H2166" s="2">
        <v>45901</v>
      </c>
    </row>
    <row r="2167" spans="1:8" hidden="1" x14ac:dyDescent="0.45">
      <c r="A2167">
        <v>2165</v>
      </c>
      <c r="B2167" t="s">
        <v>8</v>
      </c>
      <c r="C2167" s="3">
        <v>961788.95315054199</v>
      </c>
      <c r="D2167" s="3"/>
      <c r="E2167" s="3">
        <v>533484.83504109702</v>
      </c>
      <c r="F2167" s="3">
        <v>1428108.79160211</v>
      </c>
      <c r="G2167" s="1">
        <v>45504</v>
      </c>
      <c r="H2167" s="2">
        <v>45931</v>
      </c>
    </row>
    <row r="2168" spans="1:8" hidden="1" x14ac:dyDescent="0.45">
      <c r="A2168">
        <v>2166</v>
      </c>
      <c r="B2168" t="s">
        <v>7</v>
      </c>
      <c r="C2168" s="3">
        <v>131842.81603729</v>
      </c>
      <c r="D2168" s="3">
        <v>28250.62</v>
      </c>
      <c r="E2168" s="3">
        <v>82698.129336338898</v>
      </c>
      <c r="F2168" s="3">
        <v>186998.70907022001</v>
      </c>
      <c r="G2168" s="1">
        <v>45535</v>
      </c>
      <c r="H2168" s="2">
        <v>44228</v>
      </c>
    </row>
    <row r="2169" spans="1:8" hidden="1" x14ac:dyDescent="0.45">
      <c r="A2169">
        <v>2167</v>
      </c>
      <c r="B2169" t="s">
        <v>7</v>
      </c>
      <c r="C2169" s="3">
        <v>258329.784759665</v>
      </c>
      <c r="D2169" s="3">
        <v>36247.919999999998</v>
      </c>
      <c r="E2169" s="3">
        <v>176980.97634097599</v>
      </c>
      <c r="F2169" s="3">
        <v>350812.071615208</v>
      </c>
      <c r="G2169" s="1">
        <v>45535</v>
      </c>
      <c r="H2169" s="2">
        <v>44256</v>
      </c>
    </row>
    <row r="2170" spans="1:8" hidden="1" x14ac:dyDescent="0.45">
      <c r="A2170">
        <v>2168</v>
      </c>
      <c r="B2170" t="s">
        <v>7</v>
      </c>
      <c r="C2170" s="3">
        <v>166084.73764343801</v>
      </c>
      <c r="D2170" s="3">
        <v>14721.48</v>
      </c>
      <c r="E2170" s="3">
        <v>99239.494920490499</v>
      </c>
      <c r="F2170" s="3">
        <v>239612.35145140701</v>
      </c>
      <c r="G2170" s="1">
        <v>45535</v>
      </c>
      <c r="H2170" s="2">
        <v>44287</v>
      </c>
    </row>
    <row r="2171" spans="1:8" hidden="1" x14ac:dyDescent="0.45">
      <c r="A2171">
        <v>2169</v>
      </c>
      <c r="B2171" t="s">
        <v>7</v>
      </c>
      <c r="C2171" s="3">
        <v>205373.99860300301</v>
      </c>
      <c r="D2171" s="3">
        <v>94346.71</v>
      </c>
      <c r="E2171" s="3">
        <v>124059.812180888</v>
      </c>
      <c r="F2171" s="3">
        <v>288309.06461569399</v>
      </c>
      <c r="G2171" s="1">
        <v>45535</v>
      </c>
      <c r="H2171" s="2">
        <v>44317</v>
      </c>
    </row>
    <row r="2172" spans="1:8" hidden="1" x14ac:dyDescent="0.45">
      <c r="A2172">
        <v>2170</v>
      </c>
      <c r="B2172" t="s">
        <v>7</v>
      </c>
      <c r="C2172" s="3">
        <v>381279.105451504</v>
      </c>
      <c r="D2172" s="3">
        <v>970740.72</v>
      </c>
      <c r="E2172" s="3">
        <v>240460.68843647599</v>
      </c>
      <c r="F2172" s="3">
        <v>536610.97231121</v>
      </c>
      <c r="G2172" s="1">
        <v>45535</v>
      </c>
      <c r="H2172" s="2">
        <v>44348</v>
      </c>
    </row>
    <row r="2173" spans="1:8" hidden="1" x14ac:dyDescent="0.45">
      <c r="A2173">
        <v>2171</v>
      </c>
      <c r="B2173" t="s">
        <v>7</v>
      </c>
      <c r="C2173" s="3">
        <v>885925.51486003096</v>
      </c>
      <c r="D2173" s="3">
        <v>1798271.24</v>
      </c>
      <c r="E2173" s="3">
        <v>621244.18501943594</v>
      </c>
      <c r="F2173" s="3">
        <v>1176439.3962474901</v>
      </c>
      <c r="G2173" s="1">
        <v>45535</v>
      </c>
      <c r="H2173" s="2">
        <v>44378</v>
      </c>
    </row>
    <row r="2174" spans="1:8" hidden="1" x14ac:dyDescent="0.45">
      <c r="A2174">
        <v>2172</v>
      </c>
      <c r="B2174" t="s">
        <v>7</v>
      </c>
      <c r="C2174" s="3">
        <v>963273.87633735605</v>
      </c>
      <c r="D2174" s="3">
        <v>700449.31</v>
      </c>
      <c r="E2174" s="3">
        <v>612730.70540788397</v>
      </c>
      <c r="F2174" s="3">
        <v>1313881.32650979</v>
      </c>
      <c r="G2174" s="1">
        <v>45535</v>
      </c>
      <c r="H2174" s="2">
        <v>44409</v>
      </c>
    </row>
    <row r="2175" spans="1:8" hidden="1" x14ac:dyDescent="0.45">
      <c r="A2175">
        <v>2173</v>
      </c>
      <c r="B2175" t="s">
        <v>7</v>
      </c>
      <c r="C2175" s="3">
        <v>1029251.40393272</v>
      </c>
      <c r="D2175" s="3">
        <v>1784906.52</v>
      </c>
      <c r="E2175" s="3">
        <v>688067.64849985705</v>
      </c>
      <c r="F2175" s="3">
        <v>1384734.54149418</v>
      </c>
      <c r="G2175" s="1">
        <v>45535</v>
      </c>
      <c r="H2175" s="2">
        <v>44440</v>
      </c>
    </row>
    <row r="2176" spans="1:8" hidden="1" x14ac:dyDescent="0.45">
      <c r="A2176">
        <v>2174</v>
      </c>
      <c r="B2176" t="s">
        <v>7</v>
      </c>
      <c r="C2176" s="3">
        <v>932859.68652188301</v>
      </c>
      <c r="D2176" s="3">
        <v>706422.77</v>
      </c>
      <c r="E2176" s="3">
        <v>567564.714523328</v>
      </c>
      <c r="F2176" s="3">
        <v>1303127.6986982999</v>
      </c>
      <c r="G2176" s="1">
        <v>45535</v>
      </c>
      <c r="H2176" s="2">
        <v>44470</v>
      </c>
    </row>
    <row r="2177" spans="1:8" hidden="1" x14ac:dyDescent="0.45">
      <c r="A2177">
        <v>2175</v>
      </c>
      <c r="B2177" t="s">
        <v>7</v>
      </c>
      <c r="C2177" s="3">
        <v>1931996.3244459501</v>
      </c>
      <c r="D2177" s="3">
        <v>3115611.92</v>
      </c>
      <c r="E2177" s="3">
        <v>1374137.4122868599</v>
      </c>
      <c r="F2177" s="3">
        <v>2512516.3489614902</v>
      </c>
      <c r="G2177" s="1">
        <v>45535</v>
      </c>
      <c r="H2177" s="2">
        <v>44501</v>
      </c>
    </row>
    <row r="2178" spans="1:8" hidden="1" x14ac:dyDescent="0.45">
      <c r="A2178">
        <v>2176</v>
      </c>
      <c r="B2178" t="s">
        <v>7</v>
      </c>
      <c r="C2178" s="3">
        <v>837185.76020348503</v>
      </c>
      <c r="D2178" s="3">
        <v>227049.91</v>
      </c>
      <c r="E2178" s="3">
        <v>496857.62210270303</v>
      </c>
      <c r="F2178" s="3">
        <v>1214685.6210901199</v>
      </c>
      <c r="G2178" s="1">
        <v>45535</v>
      </c>
      <c r="H2178" s="2">
        <v>44531</v>
      </c>
    </row>
    <row r="2179" spans="1:8" hidden="1" x14ac:dyDescent="0.45">
      <c r="A2179">
        <v>2177</v>
      </c>
      <c r="B2179" t="s">
        <v>7</v>
      </c>
      <c r="C2179" s="3">
        <v>1245445.6946642101</v>
      </c>
      <c r="D2179" s="3">
        <v>1231496.1499999999</v>
      </c>
      <c r="E2179" s="3">
        <v>751689.84800367302</v>
      </c>
      <c r="F2179" s="3">
        <v>1756573.8270725</v>
      </c>
      <c r="G2179" s="1">
        <v>45535</v>
      </c>
      <c r="H2179" s="2">
        <v>44562</v>
      </c>
    </row>
    <row r="2180" spans="1:8" hidden="1" x14ac:dyDescent="0.45">
      <c r="A2180">
        <v>2178</v>
      </c>
      <c r="B2180" t="s">
        <v>7</v>
      </c>
      <c r="C2180" s="3">
        <v>1035638.68188673</v>
      </c>
      <c r="D2180" s="3">
        <v>1031231.86</v>
      </c>
      <c r="E2180" s="3">
        <v>635513.332063001</v>
      </c>
      <c r="F2180" s="3">
        <v>1457593.6467979499</v>
      </c>
      <c r="G2180" s="1">
        <v>45535</v>
      </c>
      <c r="H2180" s="2">
        <v>44593</v>
      </c>
    </row>
    <row r="2181" spans="1:8" hidden="1" x14ac:dyDescent="0.45">
      <c r="A2181">
        <v>2179</v>
      </c>
      <c r="B2181" t="s">
        <v>7</v>
      </c>
      <c r="C2181" s="3">
        <v>1628109.9536791099</v>
      </c>
      <c r="D2181" s="3">
        <v>2866780.02</v>
      </c>
      <c r="E2181" s="3">
        <v>1061468.6121064599</v>
      </c>
      <c r="F2181" s="3">
        <v>2224776.71855425</v>
      </c>
      <c r="G2181" s="1">
        <v>45535</v>
      </c>
      <c r="H2181" s="2">
        <v>44621</v>
      </c>
    </row>
    <row r="2182" spans="1:8" hidden="1" x14ac:dyDescent="0.45">
      <c r="A2182">
        <v>2180</v>
      </c>
      <c r="B2182" t="s">
        <v>7</v>
      </c>
      <c r="C2182" s="3">
        <v>1050411.2161646001</v>
      </c>
      <c r="D2182" s="3">
        <v>106305.83</v>
      </c>
      <c r="E2182" s="3">
        <v>623525.960265934</v>
      </c>
      <c r="F2182" s="3">
        <v>1503453.3932548601</v>
      </c>
      <c r="G2182" s="1">
        <v>45535</v>
      </c>
      <c r="H2182" s="2">
        <v>44652</v>
      </c>
    </row>
    <row r="2183" spans="1:8" hidden="1" x14ac:dyDescent="0.45">
      <c r="A2183">
        <v>2181</v>
      </c>
      <c r="B2183" t="s">
        <v>7</v>
      </c>
      <c r="C2183" s="3">
        <v>1127953.4197910801</v>
      </c>
      <c r="D2183" s="3">
        <v>667164.73</v>
      </c>
      <c r="E2183" s="3">
        <v>697476.16164651699</v>
      </c>
      <c r="F2183" s="3">
        <v>1594295.9692964</v>
      </c>
      <c r="G2183" s="1">
        <v>45535</v>
      </c>
      <c r="H2183" s="2">
        <v>44682</v>
      </c>
    </row>
    <row r="2184" spans="1:8" hidden="1" x14ac:dyDescent="0.45">
      <c r="A2184">
        <v>2182</v>
      </c>
      <c r="B2184" t="s">
        <v>7</v>
      </c>
      <c r="C2184" s="3">
        <v>1237602.4903792799</v>
      </c>
      <c r="D2184" s="3">
        <v>1398761.09</v>
      </c>
      <c r="E2184" s="3">
        <v>763461.20313180599</v>
      </c>
      <c r="F2184" s="3">
        <v>1763059.61753585</v>
      </c>
      <c r="G2184" s="1">
        <v>45535</v>
      </c>
      <c r="H2184" s="2">
        <v>44713</v>
      </c>
    </row>
    <row r="2185" spans="1:8" hidden="1" x14ac:dyDescent="0.45">
      <c r="A2185">
        <v>2183</v>
      </c>
      <c r="B2185" t="s">
        <v>7</v>
      </c>
      <c r="C2185" s="3">
        <v>1393569.3072908199</v>
      </c>
      <c r="D2185" s="3">
        <v>931475.54</v>
      </c>
      <c r="E2185" s="3">
        <v>873843.40114009602</v>
      </c>
      <c r="F2185" s="3">
        <v>1954564.02025335</v>
      </c>
      <c r="G2185" s="1">
        <v>45535</v>
      </c>
      <c r="H2185" s="2">
        <v>44743</v>
      </c>
    </row>
    <row r="2186" spans="1:8" hidden="1" x14ac:dyDescent="0.45">
      <c r="A2186">
        <v>2184</v>
      </c>
      <c r="B2186" t="s">
        <v>7</v>
      </c>
      <c r="C2186" s="3">
        <v>1268841.8882278099</v>
      </c>
      <c r="D2186" s="3">
        <v>1335916.6499999999</v>
      </c>
      <c r="E2186" s="3">
        <v>780844.54584868497</v>
      </c>
      <c r="F2186" s="3">
        <v>1785968.48077852</v>
      </c>
      <c r="G2186" s="1">
        <v>45535</v>
      </c>
      <c r="H2186" s="2">
        <v>44774</v>
      </c>
    </row>
    <row r="2187" spans="1:8" hidden="1" x14ac:dyDescent="0.45">
      <c r="A2187">
        <v>2185</v>
      </c>
      <c r="B2187" t="s">
        <v>7</v>
      </c>
      <c r="C2187" s="3">
        <v>1253041.70556642</v>
      </c>
      <c r="D2187" s="3">
        <v>976647.27</v>
      </c>
      <c r="E2187" s="3">
        <v>757239.68902846496</v>
      </c>
      <c r="F2187" s="3">
        <v>1787984.2944952601</v>
      </c>
      <c r="G2187" s="1">
        <v>45535</v>
      </c>
      <c r="H2187" s="2">
        <v>44805</v>
      </c>
    </row>
    <row r="2188" spans="1:8" hidden="1" x14ac:dyDescent="0.45">
      <c r="A2188">
        <v>2186</v>
      </c>
      <c r="B2188" t="s">
        <v>7</v>
      </c>
      <c r="C2188" s="3">
        <v>1063172.08389622</v>
      </c>
      <c r="D2188" s="3">
        <v>975982.86</v>
      </c>
      <c r="E2188" s="3">
        <v>632206.36109526304</v>
      </c>
      <c r="F2188" s="3">
        <v>1521932.3622572101</v>
      </c>
      <c r="G2188" s="1">
        <v>45535</v>
      </c>
      <c r="H2188" s="2">
        <v>44835</v>
      </c>
    </row>
    <row r="2189" spans="1:8" hidden="1" x14ac:dyDescent="0.45">
      <c r="A2189">
        <v>2187</v>
      </c>
      <c r="B2189" t="s">
        <v>7</v>
      </c>
      <c r="C2189" s="3">
        <v>2219628.5263736099</v>
      </c>
      <c r="D2189" s="3">
        <v>2010415.16</v>
      </c>
      <c r="E2189" s="3">
        <v>1472423.52474835</v>
      </c>
      <c r="F2189" s="3">
        <v>3034052.2719320902</v>
      </c>
      <c r="G2189" s="1">
        <v>45535</v>
      </c>
      <c r="H2189" s="2">
        <v>44866</v>
      </c>
    </row>
    <row r="2190" spans="1:8" hidden="1" x14ac:dyDescent="0.45">
      <c r="A2190">
        <v>2188</v>
      </c>
      <c r="B2190" t="s">
        <v>7</v>
      </c>
      <c r="C2190" s="3">
        <v>823302.92463984503</v>
      </c>
      <c r="D2190" s="3">
        <v>348929.42</v>
      </c>
      <c r="E2190" s="3">
        <v>477497.18153464299</v>
      </c>
      <c r="F2190" s="3">
        <v>1206864.13194217</v>
      </c>
      <c r="G2190" s="1">
        <v>45535</v>
      </c>
      <c r="H2190" s="2">
        <v>44896</v>
      </c>
    </row>
    <row r="2191" spans="1:8" hidden="1" x14ac:dyDescent="0.45">
      <c r="A2191">
        <v>2189</v>
      </c>
      <c r="B2191" t="s">
        <v>7</v>
      </c>
      <c r="C2191" s="3">
        <v>1204337.4786966001</v>
      </c>
      <c r="D2191" s="3">
        <v>1096298.6399999999</v>
      </c>
      <c r="E2191" s="3">
        <v>715949.17381267506</v>
      </c>
      <c r="F2191" s="3">
        <v>1728980.3348109699</v>
      </c>
      <c r="G2191" s="1">
        <v>45535</v>
      </c>
      <c r="H2191" s="2">
        <v>44927</v>
      </c>
    </row>
    <row r="2192" spans="1:8" hidden="1" x14ac:dyDescent="0.45">
      <c r="A2192">
        <v>2190</v>
      </c>
      <c r="B2192" t="s">
        <v>7</v>
      </c>
      <c r="C2192" s="3">
        <v>998934.80808129697</v>
      </c>
      <c r="D2192" s="3">
        <v>1036928.47</v>
      </c>
      <c r="E2192" s="3">
        <v>593348.11381957796</v>
      </c>
      <c r="F2192" s="3">
        <v>1446920.7919329</v>
      </c>
      <c r="G2192" s="1">
        <v>45535</v>
      </c>
      <c r="H2192" s="2">
        <v>44958</v>
      </c>
    </row>
    <row r="2193" spans="1:8" hidden="1" x14ac:dyDescent="0.45">
      <c r="A2193">
        <v>2191</v>
      </c>
      <c r="B2193" t="s">
        <v>7</v>
      </c>
      <c r="C2193" s="3">
        <v>1395931.0522944799</v>
      </c>
      <c r="D2193" s="3">
        <v>660363.89</v>
      </c>
      <c r="E2193" s="3">
        <v>857004.18765033397</v>
      </c>
      <c r="F2193" s="3">
        <v>1956754.6318536301</v>
      </c>
      <c r="G2193" s="1">
        <v>45535</v>
      </c>
      <c r="H2193" s="2">
        <v>44986</v>
      </c>
    </row>
    <row r="2194" spans="1:8" hidden="1" x14ac:dyDescent="0.45">
      <c r="A2194">
        <v>2192</v>
      </c>
      <c r="B2194" t="s">
        <v>7</v>
      </c>
      <c r="C2194" s="3">
        <v>952974.47968089103</v>
      </c>
      <c r="D2194" s="3">
        <v>1093282.48</v>
      </c>
      <c r="E2194" s="3">
        <v>553665.35899009195</v>
      </c>
      <c r="F2194" s="3">
        <v>1387610.18702251</v>
      </c>
      <c r="G2194" s="1">
        <v>45535</v>
      </c>
      <c r="H2194" s="2">
        <v>45017</v>
      </c>
    </row>
    <row r="2195" spans="1:8" hidden="1" x14ac:dyDescent="0.45">
      <c r="A2195">
        <v>2193</v>
      </c>
      <c r="B2195" t="s">
        <v>7</v>
      </c>
      <c r="C2195" s="3">
        <v>1007013.20734716</v>
      </c>
      <c r="D2195" s="3">
        <v>1212297.6200000001</v>
      </c>
      <c r="E2195" s="3">
        <v>580223.58273456094</v>
      </c>
      <c r="F2195" s="3">
        <v>1462066.5061596101</v>
      </c>
      <c r="G2195" s="1">
        <v>45535</v>
      </c>
      <c r="H2195" s="2">
        <v>45047</v>
      </c>
    </row>
    <row r="2196" spans="1:8" hidden="1" x14ac:dyDescent="0.45">
      <c r="A2196">
        <v>2194</v>
      </c>
      <c r="B2196" t="s">
        <v>7</v>
      </c>
      <c r="C2196" s="3">
        <v>1074812.69692971</v>
      </c>
      <c r="D2196" s="3">
        <v>1041503.83</v>
      </c>
      <c r="E2196" s="3">
        <v>625763.30568428698</v>
      </c>
      <c r="F2196" s="3">
        <v>1543724.15550054</v>
      </c>
      <c r="G2196" s="1">
        <v>45535</v>
      </c>
      <c r="H2196" s="2">
        <v>45078</v>
      </c>
    </row>
    <row r="2197" spans="1:8" hidden="1" x14ac:dyDescent="0.45">
      <c r="A2197">
        <v>2195</v>
      </c>
      <c r="B2197" t="s">
        <v>7</v>
      </c>
      <c r="C2197" s="3">
        <v>1201265.2524591901</v>
      </c>
      <c r="D2197" s="3">
        <v>1103446</v>
      </c>
      <c r="E2197" s="3">
        <v>719854.99988402706</v>
      </c>
      <c r="F2197" s="3">
        <v>1730647.24433028</v>
      </c>
      <c r="G2197" s="1">
        <v>45535</v>
      </c>
      <c r="H2197" s="2">
        <v>45108</v>
      </c>
    </row>
    <row r="2198" spans="1:8" hidden="1" x14ac:dyDescent="0.45">
      <c r="A2198">
        <v>2196</v>
      </c>
      <c r="B2198" t="s">
        <v>7</v>
      </c>
      <c r="C2198" s="3">
        <v>1157620.7201497301</v>
      </c>
      <c r="D2198" s="3">
        <v>1157502.68</v>
      </c>
      <c r="E2198" s="3">
        <v>692779.24173387897</v>
      </c>
      <c r="F2198" s="3">
        <v>1666792.70614903</v>
      </c>
      <c r="G2198" s="1">
        <v>45535</v>
      </c>
      <c r="H2198" s="2">
        <v>45139</v>
      </c>
    </row>
    <row r="2199" spans="1:8" hidden="1" x14ac:dyDescent="0.45">
      <c r="A2199">
        <v>2197</v>
      </c>
      <c r="B2199" t="s">
        <v>7</v>
      </c>
      <c r="C2199" s="3">
        <v>1175361.28315949</v>
      </c>
      <c r="D2199" s="3">
        <v>1330269.6499999999</v>
      </c>
      <c r="E2199" s="3">
        <v>681599.33227850299</v>
      </c>
      <c r="F2199" s="3">
        <v>1727907.9754661301</v>
      </c>
      <c r="G2199" s="1">
        <v>45535</v>
      </c>
      <c r="H2199" s="2">
        <v>45170</v>
      </c>
    </row>
    <row r="2200" spans="1:8" hidden="1" x14ac:dyDescent="0.45">
      <c r="A2200">
        <v>2198</v>
      </c>
      <c r="B2200" t="s">
        <v>7</v>
      </c>
      <c r="C2200" s="3">
        <v>1031040.46757177</v>
      </c>
      <c r="D2200" s="3">
        <v>1219536.81</v>
      </c>
      <c r="E2200" s="3">
        <v>588674.05235948996</v>
      </c>
      <c r="F2200" s="3">
        <v>1504587.4966557201</v>
      </c>
      <c r="G2200" s="1">
        <v>45535</v>
      </c>
      <c r="H2200" s="2">
        <v>45200</v>
      </c>
    </row>
    <row r="2201" spans="1:8" hidden="1" x14ac:dyDescent="0.45">
      <c r="A2201">
        <v>2199</v>
      </c>
      <c r="B2201" t="s">
        <v>7</v>
      </c>
      <c r="C2201" s="3">
        <v>2062989.5578203499</v>
      </c>
      <c r="D2201" s="3">
        <v>2038136.91</v>
      </c>
      <c r="E2201" s="3">
        <v>1299037.67959114</v>
      </c>
      <c r="F2201" s="3">
        <v>2878123.2673889501</v>
      </c>
      <c r="G2201" s="1">
        <v>45535</v>
      </c>
      <c r="H2201" s="2">
        <v>45231</v>
      </c>
    </row>
    <row r="2202" spans="1:8" hidden="1" x14ac:dyDescent="0.45">
      <c r="A2202">
        <v>2200</v>
      </c>
      <c r="B2202" t="s">
        <v>7</v>
      </c>
      <c r="C2202" s="3">
        <v>839671.88206833997</v>
      </c>
      <c r="D2202" s="3">
        <v>950044.03</v>
      </c>
      <c r="E2202" s="3">
        <v>455176.75490395399</v>
      </c>
      <c r="F2202" s="3">
        <v>1246651.4212424699</v>
      </c>
      <c r="G2202" s="1">
        <v>45535</v>
      </c>
      <c r="H2202" s="2">
        <v>45261</v>
      </c>
    </row>
    <row r="2203" spans="1:8" hidden="1" x14ac:dyDescent="0.45">
      <c r="A2203">
        <v>2201</v>
      </c>
      <c r="B2203" t="s">
        <v>7</v>
      </c>
      <c r="C2203" s="3">
        <v>1216427.44234296</v>
      </c>
      <c r="D2203" s="3">
        <v>1410224.61</v>
      </c>
      <c r="E2203" s="3">
        <v>705142.17051215598</v>
      </c>
      <c r="F2203" s="3">
        <v>1782301.65139994</v>
      </c>
      <c r="G2203" s="1">
        <v>45535</v>
      </c>
      <c r="H2203" s="2">
        <v>45292</v>
      </c>
    </row>
    <row r="2204" spans="1:8" hidden="1" x14ac:dyDescent="0.45">
      <c r="A2204">
        <v>2202</v>
      </c>
      <c r="B2204" t="s">
        <v>7</v>
      </c>
      <c r="C2204" s="3">
        <v>1040573.1711939099</v>
      </c>
      <c r="D2204" s="3">
        <v>1062970.03</v>
      </c>
      <c r="E2204" s="3">
        <v>584636.98295223399</v>
      </c>
      <c r="F2204" s="3">
        <v>1551315.65057648</v>
      </c>
      <c r="G2204" s="1">
        <v>45535</v>
      </c>
      <c r="H2204" s="2">
        <v>45323</v>
      </c>
    </row>
    <row r="2205" spans="1:8" hidden="1" x14ac:dyDescent="0.45">
      <c r="A2205">
        <v>2203</v>
      </c>
      <c r="B2205" t="s">
        <v>7</v>
      </c>
      <c r="C2205" s="3">
        <v>1359804.83262636</v>
      </c>
      <c r="D2205" s="3">
        <v>1085647</v>
      </c>
      <c r="E2205" s="3">
        <v>805491.12374613399</v>
      </c>
      <c r="F2205" s="3">
        <v>1951804.51684425</v>
      </c>
      <c r="G2205" s="1">
        <v>45535</v>
      </c>
      <c r="H2205" s="2">
        <v>45352</v>
      </c>
    </row>
    <row r="2206" spans="1:8" hidden="1" x14ac:dyDescent="0.45">
      <c r="A2206">
        <v>2204</v>
      </c>
      <c r="B2206" t="s">
        <v>7</v>
      </c>
      <c r="C2206" s="3">
        <v>1057481.9605381601</v>
      </c>
      <c r="D2206" s="3">
        <v>1633642.04</v>
      </c>
      <c r="E2206" s="3">
        <v>583971.269002049</v>
      </c>
      <c r="F2206" s="3">
        <v>1581121.13636292</v>
      </c>
      <c r="G2206" s="1">
        <v>45535</v>
      </c>
      <c r="H2206" s="2">
        <v>45383</v>
      </c>
    </row>
    <row r="2207" spans="1:8" hidden="1" x14ac:dyDescent="0.45">
      <c r="A2207">
        <v>2205</v>
      </c>
      <c r="B2207" t="s">
        <v>7</v>
      </c>
      <c r="C2207" s="3">
        <v>1089597.6088946799</v>
      </c>
      <c r="D2207" s="3">
        <v>989105.12</v>
      </c>
      <c r="E2207" s="3">
        <v>624969.98684788204</v>
      </c>
      <c r="F2207" s="3">
        <v>1605929.6818164999</v>
      </c>
      <c r="G2207" s="1">
        <v>45535</v>
      </c>
      <c r="H2207" s="2">
        <v>45413</v>
      </c>
    </row>
    <row r="2208" spans="1:8" hidden="1" x14ac:dyDescent="0.45">
      <c r="A2208">
        <v>2206</v>
      </c>
      <c r="B2208" t="s">
        <v>7</v>
      </c>
      <c r="C2208" s="3">
        <v>1116822.9397296601</v>
      </c>
      <c r="D2208" s="3">
        <v>946467.62</v>
      </c>
      <c r="E2208" s="3">
        <v>628416.15011783398</v>
      </c>
      <c r="F2208" s="3">
        <v>1647608.8025501401</v>
      </c>
      <c r="G2208" s="1">
        <v>45535</v>
      </c>
      <c r="H2208" s="2">
        <v>45444</v>
      </c>
    </row>
    <row r="2209" spans="1:8" hidden="1" x14ac:dyDescent="0.45">
      <c r="A2209">
        <v>2207</v>
      </c>
      <c r="B2209" t="s">
        <v>7</v>
      </c>
      <c r="C2209" s="3">
        <v>1246170.1545395199</v>
      </c>
      <c r="D2209" s="3">
        <v>1113439.3899999999</v>
      </c>
      <c r="E2209" s="3">
        <v>716364.45785988006</v>
      </c>
      <c r="F2209" s="3">
        <v>1814976.7262655101</v>
      </c>
      <c r="G2209" s="1">
        <v>45535</v>
      </c>
      <c r="H2209" s="2">
        <v>45474</v>
      </c>
    </row>
    <row r="2210" spans="1:8" hidden="1" x14ac:dyDescent="0.45">
      <c r="A2210">
        <v>2208</v>
      </c>
      <c r="B2210" t="s">
        <v>7</v>
      </c>
      <c r="C2210" s="3">
        <v>1229404.02159393</v>
      </c>
      <c r="D2210" s="3">
        <v>1163362.48</v>
      </c>
      <c r="E2210" s="3">
        <v>697705.74985442695</v>
      </c>
      <c r="F2210" s="3">
        <v>1821052.6382377001</v>
      </c>
      <c r="G2210" s="1">
        <v>45535</v>
      </c>
      <c r="H2210" s="2">
        <v>45505</v>
      </c>
    </row>
    <row r="2211" spans="1:8" hidden="1" x14ac:dyDescent="0.45">
      <c r="A2211">
        <v>2209</v>
      </c>
      <c r="B2211" t="s">
        <v>8</v>
      </c>
      <c r="C2211" s="3">
        <v>1230321.8912408999</v>
      </c>
      <c r="D2211" s="3">
        <v>1845100.5</v>
      </c>
      <c r="E2211" s="3">
        <v>658223.52760486305</v>
      </c>
      <c r="F2211" s="3">
        <v>1875330.46895801</v>
      </c>
      <c r="G2211" s="1">
        <v>45535</v>
      </c>
      <c r="H2211" s="2">
        <v>45536</v>
      </c>
    </row>
    <row r="2212" spans="1:8" hidden="1" x14ac:dyDescent="0.45">
      <c r="A2212">
        <v>2210</v>
      </c>
      <c r="B2212" t="s">
        <v>8</v>
      </c>
      <c r="C2212" s="3">
        <v>1056090.3842712101</v>
      </c>
      <c r="D2212" s="3">
        <v>682714.23</v>
      </c>
      <c r="E2212" s="3">
        <v>558658.91654300597</v>
      </c>
      <c r="F2212" s="3">
        <v>1572771.3843450099</v>
      </c>
      <c r="G2212" s="1">
        <v>45535</v>
      </c>
      <c r="H2212" s="2">
        <v>45566</v>
      </c>
    </row>
    <row r="2213" spans="1:8" hidden="1" x14ac:dyDescent="0.45">
      <c r="A2213">
        <v>2211</v>
      </c>
      <c r="B2213" t="s">
        <v>8</v>
      </c>
      <c r="C2213" s="3">
        <v>1984263.0439335799</v>
      </c>
      <c r="D2213" s="3"/>
      <c r="E2213" s="3">
        <v>1164057.75906411</v>
      </c>
      <c r="F2213" s="3">
        <v>2870590.4486500602</v>
      </c>
      <c r="G2213" s="1">
        <v>45535</v>
      </c>
      <c r="H2213" s="2">
        <v>45597</v>
      </c>
    </row>
    <row r="2214" spans="1:8" hidden="1" x14ac:dyDescent="0.45">
      <c r="A2214">
        <v>2212</v>
      </c>
      <c r="B2214" t="s">
        <v>8</v>
      </c>
      <c r="C2214" s="3">
        <v>799034.31870735798</v>
      </c>
      <c r="D2214" s="3"/>
      <c r="E2214" s="3">
        <v>409559.21536534902</v>
      </c>
      <c r="F2214" s="3">
        <v>1242011.06338202</v>
      </c>
      <c r="G2214" s="1">
        <v>45535</v>
      </c>
      <c r="H2214" s="2">
        <v>45627</v>
      </c>
    </row>
    <row r="2215" spans="1:8" hidden="1" x14ac:dyDescent="0.45">
      <c r="A2215">
        <v>2213</v>
      </c>
      <c r="B2215" t="s">
        <v>8</v>
      </c>
      <c r="C2215" s="3">
        <v>1114427.5018384301</v>
      </c>
      <c r="D2215" s="3"/>
      <c r="E2215" s="3">
        <v>597517.13580741105</v>
      </c>
      <c r="F2215" s="3">
        <v>1686193.0434071801</v>
      </c>
      <c r="G2215" s="1">
        <v>45535</v>
      </c>
      <c r="H2215" s="2">
        <v>45658</v>
      </c>
    </row>
    <row r="2216" spans="1:8" hidden="1" x14ac:dyDescent="0.45">
      <c r="A2216">
        <v>2214</v>
      </c>
      <c r="B2216" t="s">
        <v>8</v>
      </c>
      <c r="C2216" s="3">
        <v>950917.30301480403</v>
      </c>
      <c r="D2216" s="3"/>
      <c r="E2216" s="3">
        <v>489731.76507686701</v>
      </c>
      <c r="F2216" s="3">
        <v>1452150.2719346001</v>
      </c>
      <c r="G2216" s="1">
        <v>45535</v>
      </c>
      <c r="H2216" s="2">
        <v>45689</v>
      </c>
    </row>
    <row r="2217" spans="1:8" hidden="1" x14ac:dyDescent="0.45">
      <c r="A2217">
        <v>2215</v>
      </c>
      <c r="B2217" t="s">
        <v>8</v>
      </c>
      <c r="C2217" s="3">
        <v>1176018.62636826</v>
      </c>
      <c r="D2217" s="3"/>
      <c r="E2217" s="3">
        <v>637955.51621048898</v>
      </c>
      <c r="F2217" s="3">
        <v>1748416.9045110999</v>
      </c>
      <c r="G2217" s="1">
        <v>45535</v>
      </c>
      <c r="H2217" s="2">
        <v>45717</v>
      </c>
    </row>
    <row r="2218" spans="1:8" hidden="1" x14ac:dyDescent="0.45">
      <c r="A2218">
        <v>2216</v>
      </c>
      <c r="B2218" t="s">
        <v>8</v>
      </c>
      <c r="C2218" s="3">
        <v>977130.74661509902</v>
      </c>
      <c r="D2218" s="3"/>
      <c r="E2218" s="3">
        <v>499919.27949324698</v>
      </c>
      <c r="F2218" s="3">
        <v>1511261.5736575299</v>
      </c>
      <c r="G2218" s="1">
        <v>45535</v>
      </c>
      <c r="H2218" s="2">
        <v>45748</v>
      </c>
    </row>
    <row r="2219" spans="1:8" hidden="1" x14ac:dyDescent="0.45">
      <c r="A2219">
        <v>2217</v>
      </c>
      <c r="B2219" t="s">
        <v>8</v>
      </c>
      <c r="C2219" s="3">
        <v>945016.979069144</v>
      </c>
      <c r="D2219" s="3"/>
      <c r="E2219" s="3">
        <v>498082.914408846</v>
      </c>
      <c r="F2219" s="3">
        <v>1438718.6249166699</v>
      </c>
      <c r="G2219" s="1">
        <v>45535</v>
      </c>
      <c r="H2219" s="2">
        <v>45778</v>
      </c>
    </row>
    <row r="2220" spans="1:8" hidden="1" x14ac:dyDescent="0.45">
      <c r="A2220">
        <v>2218</v>
      </c>
      <c r="B2220" t="s">
        <v>8</v>
      </c>
      <c r="C2220" s="3">
        <v>963673.2395584</v>
      </c>
      <c r="D2220" s="3"/>
      <c r="E2220" s="3">
        <v>513034.45166728599</v>
      </c>
      <c r="F2220" s="3">
        <v>1463484.94116425</v>
      </c>
      <c r="G2220" s="1">
        <v>45535</v>
      </c>
      <c r="H2220" s="2">
        <v>45809</v>
      </c>
    </row>
    <row r="2221" spans="1:8" hidden="1" x14ac:dyDescent="0.45">
      <c r="A2221">
        <v>2219</v>
      </c>
      <c r="B2221" t="s">
        <v>8</v>
      </c>
      <c r="C2221" s="3">
        <v>1054830.80513003</v>
      </c>
      <c r="D2221" s="3"/>
      <c r="E2221" s="3">
        <v>579686.13317937101</v>
      </c>
      <c r="F2221" s="3">
        <v>1586813.86460992</v>
      </c>
      <c r="G2221" s="1">
        <v>45535</v>
      </c>
      <c r="H2221" s="2">
        <v>45839</v>
      </c>
    </row>
    <row r="2222" spans="1:8" hidden="1" x14ac:dyDescent="0.45">
      <c r="A2222">
        <v>2220</v>
      </c>
      <c r="B2222" t="s">
        <v>8</v>
      </c>
      <c r="C2222" s="3">
        <v>1043539.1003171999</v>
      </c>
      <c r="D2222" s="3"/>
      <c r="E2222" s="3">
        <v>559456.77616783103</v>
      </c>
      <c r="F2222" s="3">
        <v>1574978.87999692</v>
      </c>
      <c r="G2222" s="1">
        <v>45535</v>
      </c>
      <c r="H2222" s="2">
        <v>45870</v>
      </c>
    </row>
    <row r="2223" spans="1:8" hidden="1" x14ac:dyDescent="0.45">
      <c r="A2223">
        <v>2221</v>
      </c>
      <c r="B2223" t="s">
        <v>8</v>
      </c>
      <c r="C2223" s="3">
        <v>1083506.6840846799</v>
      </c>
      <c r="D2223" s="3"/>
      <c r="E2223" s="3">
        <v>557251.06790235499</v>
      </c>
      <c r="F2223" s="3">
        <v>1674287.62472258</v>
      </c>
      <c r="G2223" s="1">
        <v>45535</v>
      </c>
      <c r="H2223" s="2">
        <v>45901</v>
      </c>
    </row>
    <row r="2224" spans="1:8" hidden="1" x14ac:dyDescent="0.45">
      <c r="A2224">
        <v>2222</v>
      </c>
      <c r="B2224" t="s">
        <v>8</v>
      </c>
      <c r="C2224" s="3">
        <v>948198.24084832601</v>
      </c>
      <c r="D2224" s="3"/>
      <c r="E2224" s="3">
        <v>490644.73095463699</v>
      </c>
      <c r="F2224" s="3">
        <v>1433580.0997259701</v>
      </c>
      <c r="G2224" s="1">
        <v>45535</v>
      </c>
      <c r="H2224" s="2">
        <v>45931</v>
      </c>
    </row>
    <row r="2225" spans="1:8" hidden="1" x14ac:dyDescent="0.45">
      <c r="A2225">
        <v>2223</v>
      </c>
      <c r="B2225" t="s">
        <v>7</v>
      </c>
      <c r="C2225" s="3">
        <v>129656.939582933</v>
      </c>
      <c r="D2225" s="3">
        <v>28250.62</v>
      </c>
      <c r="E2225" s="3">
        <v>82070.9677545546</v>
      </c>
      <c r="F2225" s="3">
        <v>185395.16398346401</v>
      </c>
      <c r="G2225" s="1">
        <v>45565</v>
      </c>
      <c r="H2225" s="2">
        <v>44228</v>
      </c>
    </row>
    <row r="2226" spans="1:8" hidden="1" x14ac:dyDescent="0.45">
      <c r="A2226">
        <v>2224</v>
      </c>
      <c r="B2226" t="s">
        <v>7</v>
      </c>
      <c r="C2226" s="3">
        <v>250474.90050295301</v>
      </c>
      <c r="D2226" s="3">
        <v>36247.919999999998</v>
      </c>
      <c r="E2226" s="3">
        <v>169172.41973014901</v>
      </c>
      <c r="F2226" s="3">
        <v>341975.65872081998</v>
      </c>
      <c r="G2226" s="1">
        <v>45565</v>
      </c>
      <c r="H2226" s="2">
        <v>44256</v>
      </c>
    </row>
    <row r="2227" spans="1:8" hidden="1" x14ac:dyDescent="0.45">
      <c r="A2227">
        <v>2225</v>
      </c>
      <c r="B2227" t="s">
        <v>7</v>
      </c>
      <c r="C2227" s="3">
        <v>162644.540748069</v>
      </c>
      <c r="D2227" s="3">
        <v>14721.48</v>
      </c>
      <c r="E2227" s="3">
        <v>96851.906094147096</v>
      </c>
      <c r="F2227" s="3">
        <v>231774.35602526899</v>
      </c>
      <c r="G2227" s="1">
        <v>45565</v>
      </c>
      <c r="H2227" s="2">
        <v>44287</v>
      </c>
    </row>
    <row r="2228" spans="1:8" hidden="1" x14ac:dyDescent="0.45">
      <c r="A2228">
        <v>2226</v>
      </c>
      <c r="B2228" t="s">
        <v>7</v>
      </c>
      <c r="C2228" s="3">
        <v>202449.470859286</v>
      </c>
      <c r="D2228" s="3">
        <v>94346.709999999905</v>
      </c>
      <c r="E2228" s="3">
        <v>121069.69563645701</v>
      </c>
      <c r="F2228" s="3">
        <v>287435.79697735101</v>
      </c>
      <c r="G2228" s="1">
        <v>45565</v>
      </c>
      <c r="H2228" s="2">
        <v>44317</v>
      </c>
    </row>
    <row r="2229" spans="1:8" hidden="1" x14ac:dyDescent="0.45">
      <c r="A2229">
        <v>2227</v>
      </c>
      <c r="B2229" t="s">
        <v>7</v>
      </c>
      <c r="C2229" s="3">
        <v>365935.95237421</v>
      </c>
      <c r="D2229" s="3">
        <v>970740.72</v>
      </c>
      <c r="E2229" s="3">
        <v>239701.20512467701</v>
      </c>
      <c r="F2229" s="3">
        <v>508521.44530297403</v>
      </c>
      <c r="G2229" s="1">
        <v>45565</v>
      </c>
      <c r="H2229" s="2">
        <v>44348</v>
      </c>
    </row>
    <row r="2230" spans="1:8" hidden="1" x14ac:dyDescent="0.45">
      <c r="A2230">
        <v>2228</v>
      </c>
      <c r="B2230" t="s">
        <v>7</v>
      </c>
      <c r="C2230" s="3">
        <v>847230.54154667002</v>
      </c>
      <c r="D2230" s="3">
        <v>1798271.24</v>
      </c>
      <c r="E2230" s="3">
        <v>559457.09189532802</v>
      </c>
      <c r="F2230" s="3">
        <v>1101418.9785541</v>
      </c>
      <c r="G2230" s="1">
        <v>45565</v>
      </c>
      <c r="H2230" s="2">
        <v>44378</v>
      </c>
    </row>
    <row r="2231" spans="1:8" hidden="1" x14ac:dyDescent="0.45">
      <c r="A2231">
        <v>2229</v>
      </c>
      <c r="B2231" t="s">
        <v>7</v>
      </c>
      <c r="C2231" s="3">
        <v>931987.10922763497</v>
      </c>
      <c r="D2231" s="3">
        <v>700449.31</v>
      </c>
      <c r="E2231" s="3">
        <v>609817.65548023302</v>
      </c>
      <c r="F2231" s="3">
        <v>1261611.3833051899</v>
      </c>
      <c r="G2231" s="1">
        <v>45565</v>
      </c>
      <c r="H2231" s="2">
        <v>44409</v>
      </c>
    </row>
    <row r="2232" spans="1:8" hidden="1" x14ac:dyDescent="0.45">
      <c r="A2232">
        <v>2230</v>
      </c>
      <c r="B2232" t="s">
        <v>7</v>
      </c>
      <c r="C2232" s="3">
        <v>1049639.3225751701</v>
      </c>
      <c r="D2232" s="3">
        <v>1784906.52</v>
      </c>
      <c r="E2232" s="3">
        <v>730973.24100768997</v>
      </c>
      <c r="F2232" s="3">
        <v>1394249.5735756201</v>
      </c>
      <c r="G2232" s="1">
        <v>45565</v>
      </c>
      <c r="H2232" s="2">
        <v>44440</v>
      </c>
    </row>
    <row r="2233" spans="1:8" hidden="1" x14ac:dyDescent="0.45">
      <c r="A2233">
        <v>2231</v>
      </c>
      <c r="B2233" t="s">
        <v>7</v>
      </c>
      <c r="C2233" s="3">
        <v>928941.35932862398</v>
      </c>
      <c r="D2233" s="3">
        <v>706422.77</v>
      </c>
      <c r="E2233" s="3">
        <v>581870.69415608805</v>
      </c>
      <c r="F2233" s="3">
        <v>1272826.1146233301</v>
      </c>
      <c r="G2233" s="1">
        <v>45565</v>
      </c>
      <c r="H2233" s="2">
        <v>44470</v>
      </c>
    </row>
    <row r="2234" spans="1:8" hidden="1" x14ac:dyDescent="0.45">
      <c r="A2234">
        <v>2232</v>
      </c>
      <c r="B2234" t="s">
        <v>7</v>
      </c>
      <c r="C2234" s="3">
        <v>1892972.2371316999</v>
      </c>
      <c r="D2234" s="3">
        <v>3115611.92</v>
      </c>
      <c r="E2234" s="3">
        <v>1338002.2394061999</v>
      </c>
      <c r="F2234" s="3">
        <v>2455869.1056731199</v>
      </c>
      <c r="G2234" s="1">
        <v>45565</v>
      </c>
      <c r="H2234" s="2">
        <v>44501</v>
      </c>
    </row>
    <row r="2235" spans="1:8" hidden="1" x14ac:dyDescent="0.45">
      <c r="A2235">
        <v>2233</v>
      </c>
      <c r="B2235" t="s">
        <v>7</v>
      </c>
      <c r="C2235" s="3">
        <v>822625.70716148603</v>
      </c>
      <c r="D2235" s="3">
        <v>227049.91</v>
      </c>
      <c r="E2235" s="3">
        <v>476296.20021144999</v>
      </c>
      <c r="F2235" s="3">
        <v>1203767.11018868</v>
      </c>
      <c r="G2235" s="1">
        <v>45565</v>
      </c>
      <c r="H2235" s="2">
        <v>44531</v>
      </c>
    </row>
    <row r="2236" spans="1:8" hidden="1" x14ac:dyDescent="0.45">
      <c r="A2236">
        <v>2234</v>
      </c>
      <c r="B2236" t="s">
        <v>7</v>
      </c>
      <c r="C2236" s="3">
        <v>1215702.4044903</v>
      </c>
      <c r="D2236" s="3">
        <v>1231496.1499999999</v>
      </c>
      <c r="E2236" s="3">
        <v>768307.47101032594</v>
      </c>
      <c r="F2236" s="3">
        <v>1701378.01648956</v>
      </c>
      <c r="G2236" s="1">
        <v>45565</v>
      </c>
      <c r="H2236" s="2">
        <v>44562</v>
      </c>
    </row>
    <row r="2237" spans="1:8" hidden="1" x14ac:dyDescent="0.45">
      <c r="A2237">
        <v>2235</v>
      </c>
      <c r="B2237" t="s">
        <v>7</v>
      </c>
      <c r="C2237" s="3">
        <v>1046499.45702374</v>
      </c>
      <c r="D2237" s="3">
        <v>1031231.86</v>
      </c>
      <c r="E2237" s="3">
        <v>637064.37844185403</v>
      </c>
      <c r="F2237" s="3">
        <v>1482332.52627276</v>
      </c>
      <c r="G2237" s="1">
        <v>45565</v>
      </c>
      <c r="H2237" s="2">
        <v>44593</v>
      </c>
    </row>
    <row r="2238" spans="1:8" hidden="1" x14ac:dyDescent="0.45">
      <c r="A2238">
        <v>2236</v>
      </c>
      <c r="B2238" t="s">
        <v>7</v>
      </c>
      <c r="C2238" s="3">
        <v>1578695.22990124</v>
      </c>
      <c r="D2238" s="3">
        <v>2866780.02</v>
      </c>
      <c r="E2238" s="3">
        <v>1016632.14225971</v>
      </c>
      <c r="F2238" s="3">
        <v>2180279.0592218302</v>
      </c>
      <c r="G2238" s="1">
        <v>45565</v>
      </c>
      <c r="H2238" s="2">
        <v>44621</v>
      </c>
    </row>
    <row r="2239" spans="1:8" hidden="1" x14ac:dyDescent="0.45">
      <c r="A2239">
        <v>2237</v>
      </c>
      <c r="B2239" t="s">
        <v>7</v>
      </c>
      <c r="C2239" s="3">
        <v>1057379.9324330799</v>
      </c>
      <c r="D2239" s="3">
        <v>106305.83</v>
      </c>
      <c r="E2239" s="3">
        <v>637839.00011455605</v>
      </c>
      <c r="F2239" s="3">
        <v>1518161.6870151099</v>
      </c>
      <c r="G2239" s="1">
        <v>45565</v>
      </c>
      <c r="H2239" s="2">
        <v>44652</v>
      </c>
    </row>
    <row r="2240" spans="1:8" hidden="1" x14ac:dyDescent="0.45">
      <c r="A2240">
        <v>2238</v>
      </c>
      <c r="B2240" t="s">
        <v>7</v>
      </c>
      <c r="C2240" s="3">
        <v>1116324.8546009799</v>
      </c>
      <c r="D2240" s="3">
        <v>667164.73</v>
      </c>
      <c r="E2240" s="3">
        <v>672359.87256408494</v>
      </c>
      <c r="F2240" s="3">
        <v>1582183.9277212101</v>
      </c>
      <c r="G2240" s="1">
        <v>45565</v>
      </c>
      <c r="H2240" s="2">
        <v>44682</v>
      </c>
    </row>
    <row r="2241" spans="1:8" hidden="1" x14ac:dyDescent="0.45">
      <c r="A2241">
        <v>2239</v>
      </c>
      <c r="B2241" t="s">
        <v>7</v>
      </c>
      <c r="C2241" s="3">
        <v>1228220.16328562</v>
      </c>
      <c r="D2241" s="3">
        <v>1398761.0899999901</v>
      </c>
      <c r="E2241" s="3">
        <v>772767.72112272598</v>
      </c>
      <c r="F2241" s="3">
        <v>1712243.83033792</v>
      </c>
      <c r="G2241" s="1">
        <v>45565</v>
      </c>
      <c r="H2241" s="2">
        <v>44713</v>
      </c>
    </row>
    <row r="2242" spans="1:8" hidden="1" x14ac:dyDescent="0.45">
      <c r="A2242">
        <v>2240</v>
      </c>
      <c r="B2242" t="s">
        <v>7</v>
      </c>
      <c r="C2242" s="3">
        <v>1345036.2452374899</v>
      </c>
      <c r="D2242" s="3">
        <v>931475.54</v>
      </c>
      <c r="E2242" s="3">
        <v>853143.51426650304</v>
      </c>
      <c r="F2242" s="3">
        <v>1875489.9519608701</v>
      </c>
      <c r="G2242" s="1">
        <v>45565</v>
      </c>
      <c r="H2242" s="2">
        <v>44743</v>
      </c>
    </row>
    <row r="2243" spans="1:8" hidden="1" x14ac:dyDescent="0.45">
      <c r="A2243">
        <v>2241</v>
      </c>
      <c r="B2243" t="s">
        <v>7</v>
      </c>
      <c r="C2243" s="3">
        <v>1249144.9902987999</v>
      </c>
      <c r="D2243" s="3">
        <v>1335916.6499999999</v>
      </c>
      <c r="E2243" s="3">
        <v>777849.13541920099</v>
      </c>
      <c r="F2243" s="3">
        <v>1746281.8859278201</v>
      </c>
      <c r="G2243" s="1">
        <v>45565</v>
      </c>
      <c r="H2243" s="2">
        <v>44774</v>
      </c>
    </row>
    <row r="2244" spans="1:8" hidden="1" x14ac:dyDescent="0.45">
      <c r="A2244">
        <v>2242</v>
      </c>
      <c r="B2244" t="s">
        <v>7</v>
      </c>
      <c r="C2244" s="3">
        <v>1326767.7259793701</v>
      </c>
      <c r="D2244" s="3">
        <v>976647.27</v>
      </c>
      <c r="E2244" s="3">
        <v>844699.33706530696</v>
      </c>
      <c r="F2244" s="3">
        <v>1858034.98432131</v>
      </c>
      <c r="G2244" s="1">
        <v>45565</v>
      </c>
      <c r="H2244" s="2">
        <v>44805</v>
      </c>
    </row>
    <row r="2245" spans="1:8" hidden="1" x14ac:dyDescent="0.45">
      <c r="A2245">
        <v>2243</v>
      </c>
      <c r="B2245" t="s">
        <v>7</v>
      </c>
      <c r="C2245" s="3">
        <v>1070745.2711702599</v>
      </c>
      <c r="D2245" s="3">
        <v>975982.86</v>
      </c>
      <c r="E2245" s="3">
        <v>650811.47795231198</v>
      </c>
      <c r="F2245" s="3">
        <v>1528050.3534602399</v>
      </c>
      <c r="G2245" s="1">
        <v>45565</v>
      </c>
      <c r="H2245" s="2">
        <v>44835</v>
      </c>
    </row>
    <row r="2246" spans="1:8" hidden="1" x14ac:dyDescent="0.45">
      <c r="A2246">
        <v>2244</v>
      </c>
      <c r="B2246" t="s">
        <v>7</v>
      </c>
      <c r="C2246" s="3">
        <v>2187579.7404722399</v>
      </c>
      <c r="D2246" s="3">
        <v>2010415.16</v>
      </c>
      <c r="E2246" s="3">
        <v>1454619.2949178</v>
      </c>
      <c r="F2246" s="3">
        <v>2969320.6199400001</v>
      </c>
      <c r="G2246" s="1">
        <v>45565</v>
      </c>
      <c r="H2246" s="2">
        <v>44866</v>
      </c>
    </row>
    <row r="2247" spans="1:8" hidden="1" x14ac:dyDescent="0.45">
      <c r="A2247">
        <v>2245</v>
      </c>
      <c r="B2247" t="s">
        <v>7</v>
      </c>
      <c r="C2247" s="3">
        <v>817591.38649516099</v>
      </c>
      <c r="D2247" s="3">
        <v>348929.42</v>
      </c>
      <c r="E2247" s="3">
        <v>465527.87195416098</v>
      </c>
      <c r="F2247" s="3">
        <v>1197386.6137101999</v>
      </c>
      <c r="G2247" s="1">
        <v>45565</v>
      </c>
      <c r="H2247" s="2">
        <v>44896</v>
      </c>
    </row>
    <row r="2248" spans="1:8" hidden="1" x14ac:dyDescent="0.45">
      <c r="A2248">
        <v>2246</v>
      </c>
      <c r="B2248" t="s">
        <v>7</v>
      </c>
      <c r="C2248" s="3">
        <v>1191165.2933580701</v>
      </c>
      <c r="D2248" s="3">
        <v>1096298.6399999999</v>
      </c>
      <c r="E2248" s="3">
        <v>726813.31623344496</v>
      </c>
      <c r="F2248" s="3">
        <v>1681863.330786</v>
      </c>
      <c r="G2248" s="1">
        <v>45565</v>
      </c>
      <c r="H2248" s="2">
        <v>44927</v>
      </c>
    </row>
    <row r="2249" spans="1:8" hidden="1" x14ac:dyDescent="0.45">
      <c r="A2249">
        <v>2247</v>
      </c>
      <c r="B2249" t="s">
        <v>7</v>
      </c>
      <c r="C2249" s="3">
        <v>1018145.37002391</v>
      </c>
      <c r="D2249" s="3">
        <v>1036928.47</v>
      </c>
      <c r="E2249" s="3">
        <v>609431.32979706698</v>
      </c>
      <c r="F2249" s="3">
        <v>1463880.57022723</v>
      </c>
      <c r="G2249" s="1">
        <v>45565</v>
      </c>
      <c r="H2249" s="2">
        <v>44958</v>
      </c>
    </row>
    <row r="2250" spans="1:8" hidden="1" x14ac:dyDescent="0.45">
      <c r="A2250">
        <v>2248</v>
      </c>
      <c r="B2250" t="s">
        <v>7</v>
      </c>
      <c r="C2250" s="3">
        <v>1406011.9802395599</v>
      </c>
      <c r="D2250" s="3">
        <v>660363.89</v>
      </c>
      <c r="E2250" s="3">
        <v>861056.54066180799</v>
      </c>
      <c r="F2250" s="3">
        <v>1963505.1447511199</v>
      </c>
      <c r="G2250" s="1">
        <v>45565</v>
      </c>
      <c r="H2250" s="2">
        <v>44986</v>
      </c>
    </row>
    <row r="2251" spans="1:8" hidden="1" x14ac:dyDescent="0.45">
      <c r="A2251">
        <v>2249</v>
      </c>
      <c r="B2251" t="s">
        <v>7</v>
      </c>
      <c r="C2251" s="3">
        <v>971092.971856046</v>
      </c>
      <c r="D2251" s="3">
        <v>1093282.48</v>
      </c>
      <c r="E2251" s="3">
        <v>580977.83093066502</v>
      </c>
      <c r="F2251" s="3">
        <v>1387555.3224335399</v>
      </c>
      <c r="G2251" s="1">
        <v>45565</v>
      </c>
      <c r="H2251" s="2">
        <v>45017</v>
      </c>
    </row>
    <row r="2252" spans="1:8" hidden="1" x14ac:dyDescent="0.45">
      <c r="A2252">
        <v>2250</v>
      </c>
      <c r="B2252" t="s">
        <v>7</v>
      </c>
      <c r="C2252" s="3">
        <v>1007969.66833174</v>
      </c>
      <c r="D2252" s="3">
        <v>1212297.6200000001</v>
      </c>
      <c r="E2252" s="3">
        <v>607468.20155549096</v>
      </c>
      <c r="F2252" s="3">
        <v>1445461.0747507999</v>
      </c>
      <c r="G2252" s="1">
        <v>45565</v>
      </c>
      <c r="H2252" s="2">
        <v>45047</v>
      </c>
    </row>
    <row r="2253" spans="1:8" hidden="1" x14ac:dyDescent="0.45">
      <c r="A2253">
        <v>2251</v>
      </c>
      <c r="B2253" t="s">
        <v>7</v>
      </c>
      <c r="C2253" s="3">
        <v>1086514.5182578401</v>
      </c>
      <c r="D2253" s="3">
        <v>1041503.83</v>
      </c>
      <c r="E2253" s="3">
        <v>663671.13470490696</v>
      </c>
      <c r="F2253" s="3">
        <v>1532536.0203670501</v>
      </c>
      <c r="G2253" s="1">
        <v>45565</v>
      </c>
      <c r="H2253" s="2">
        <v>45078</v>
      </c>
    </row>
    <row r="2254" spans="1:8" hidden="1" x14ac:dyDescent="0.45">
      <c r="A2254">
        <v>2252</v>
      </c>
      <c r="B2254" t="s">
        <v>7</v>
      </c>
      <c r="C2254" s="3">
        <v>1193869.5955493499</v>
      </c>
      <c r="D2254" s="3">
        <v>1103446</v>
      </c>
      <c r="E2254" s="3">
        <v>732420.38060220703</v>
      </c>
      <c r="F2254" s="3">
        <v>1699303.1771781601</v>
      </c>
      <c r="G2254" s="1">
        <v>45565</v>
      </c>
      <c r="H2254" s="2">
        <v>45108</v>
      </c>
    </row>
    <row r="2255" spans="1:8" hidden="1" x14ac:dyDescent="0.45">
      <c r="A2255">
        <v>2253</v>
      </c>
      <c r="B2255" t="s">
        <v>7</v>
      </c>
      <c r="C2255" s="3">
        <v>1173443.11350834</v>
      </c>
      <c r="D2255" s="3">
        <v>1157502.68</v>
      </c>
      <c r="E2255" s="3">
        <v>707542.35350358696</v>
      </c>
      <c r="F2255" s="3">
        <v>1667924.5381656699</v>
      </c>
      <c r="G2255" s="1">
        <v>45565</v>
      </c>
      <c r="H2255" s="2">
        <v>45139</v>
      </c>
    </row>
    <row r="2256" spans="1:8" hidden="1" x14ac:dyDescent="0.45">
      <c r="A2256">
        <v>2254</v>
      </c>
      <c r="B2256" t="s">
        <v>7</v>
      </c>
      <c r="C2256" s="3">
        <v>1284287.5438469001</v>
      </c>
      <c r="D2256" s="3">
        <v>1330269.6499999999</v>
      </c>
      <c r="E2256" s="3">
        <v>798896.65111404203</v>
      </c>
      <c r="F2256" s="3">
        <v>1808816.82261071</v>
      </c>
      <c r="G2256" s="1">
        <v>45565</v>
      </c>
      <c r="H2256" s="2">
        <v>45170</v>
      </c>
    </row>
    <row r="2257" spans="1:8" hidden="1" x14ac:dyDescent="0.45">
      <c r="A2257">
        <v>2255</v>
      </c>
      <c r="B2257" t="s">
        <v>7</v>
      </c>
      <c r="C2257" s="3">
        <v>1055868.9833933299</v>
      </c>
      <c r="D2257" s="3">
        <v>1219536.81</v>
      </c>
      <c r="E2257" s="3">
        <v>607055.474507128</v>
      </c>
      <c r="F2257" s="3">
        <v>1536690.8867965599</v>
      </c>
      <c r="G2257" s="1">
        <v>45565</v>
      </c>
      <c r="H2257" s="2">
        <v>45200</v>
      </c>
    </row>
    <row r="2258" spans="1:8" hidden="1" x14ac:dyDescent="0.45">
      <c r="A2258">
        <v>2256</v>
      </c>
      <c r="B2258" t="s">
        <v>7</v>
      </c>
      <c r="C2258" s="3">
        <v>2101377.92557158</v>
      </c>
      <c r="D2258" s="3">
        <v>2038136.91</v>
      </c>
      <c r="E2258" s="3">
        <v>1328137.31525282</v>
      </c>
      <c r="F2258" s="3">
        <v>2934664.8458423102</v>
      </c>
      <c r="G2258" s="1">
        <v>45565</v>
      </c>
      <c r="H2258" s="2">
        <v>45231</v>
      </c>
    </row>
    <row r="2259" spans="1:8" hidden="1" x14ac:dyDescent="0.45">
      <c r="A2259">
        <v>2257</v>
      </c>
      <c r="B2259" t="s">
        <v>7</v>
      </c>
      <c r="C2259" s="3">
        <v>853270.56334899704</v>
      </c>
      <c r="D2259" s="3">
        <v>950044.03</v>
      </c>
      <c r="E2259" s="3">
        <v>475220.19180260203</v>
      </c>
      <c r="F2259" s="3">
        <v>1270426.3164878101</v>
      </c>
      <c r="G2259" s="1">
        <v>45565</v>
      </c>
      <c r="H2259" s="2">
        <v>45261</v>
      </c>
    </row>
    <row r="2260" spans="1:8" hidden="1" x14ac:dyDescent="0.45">
      <c r="A2260">
        <v>2258</v>
      </c>
      <c r="B2260" t="s">
        <v>7</v>
      </c>
      <c r="C2260" s="3">
        <v>1255606.6344960299</v>
      </c>
      <c r="D2260" s="3">
        <v>1410224.61</v>
      </c>
      <c r="E2260" s="3">
        <v>751867.79208039399</v>
      </c>
      <c r="F2260" s="3">
        <v>1803161.8685031601</v>
      </c>
      <c r="G2260" s="1">
        <v>45565</v>
      </c>
      <c r="H2260" s="2">
        <v>45292</v>
      </c>
    </row>
    <row r="2261" spans="1:8" hidden="1" x14ac:dyDescent="0.45">
      <c r="A2261">
        <v>2259</v>
      </c>
      <c r="B2261" t="s">
        <v>7</v>
      </c>
      <c r="C2261" s="3">
        <v>1086269.20426099</v>
      </c>
      <c r="D2261" s="3">
        <v>1062970.03</v>
      </c>
      <c r="E2261" s="3">
        <v>622334.25243710296</v>
      </c>
      <c r="F2261" s="3">
        <v>1599445.11592731</v>
      </c>
      <c r="G2261" s="1">
        <v>45565</v>
      </c>
      <c r="H2261" s="2">
        <v>45323</v>
      </c>
    </row>
    <row r="2262" spans="1:8" hidden="1" x14ac:dyDescent="0.45">
      <c r="A2262">
        <v>2260</v>
      </c>
      <c r="B2262" t="s">
        <v>7</v>
      </c>
      <c r="C2262" s="3">
        <v>1421274.9028856501</v>
      </c>
      <c r="D2262" s="3">
        <v>1085647</v>
      </c>
      <c r="E2262" s="3">
        <v>851485.62502184196</v>
      </c>
      <c r="F2262" s="3">
        <v>2025138.54955966</v>
      </c>
      <c r="G2262" s="1">
        <v>45565</v>
      </c>
      <c r="H2262" s="2">
        <v>45352</v>
      </c>
    </row>
    <row r="2263" spans="1:8" hidden="1" x14ac:dyDescent="0.45">
      <c r="A2263">
        <v>2261</v>
      </c>
      <c r="B2263" t="s">
        <v>7</v>
      </c>
      <c r="C2263" s="3">
        <v>1095300.31667644</v>
      </c>
      <c r="D2263" s="3">
        <v>1633642.04</v>
      </c>
      <c r="E2263" s="3">
        <v>632800.220711804</v>
      </c>
      <c r="F2263" s="3">
        <v>1598314.6982698899</v>
      </c>
      <c r="G2263" s="1">
        <v>45565</v>
      </c>
      <c r="H2263" s="2">
        <v>45383</v>
      </c>
    </row>
    <row r="2264" spans="1:8" hidden="1" x14ac:dyDescent="0.45">
      <c r="A2264">
        <v>2262</v>
      </c>
      <c r="B2264" t="s">
        <v>7</v>
      </c>
      <c r="C2264" s="3">
        <v>1122980.0437501699</v>
      </c>
      <c r="D2264" s="3">
        <v>989105.12</v>
      </c>
      <c r="E2264" s="3">
        <v>648218.68109943997</v>
      </c>
      <c r="F2264" s="3">
        <v>1630290.8274139101</v>
      </c>
      <c r="G2264" s="1">
        <v>45565</v>
      </c>
      <c r="H2264" s="2">
        <v>45413</v>
      </c>
    </row>
    <row r="2265" spans="1:8" hidden="1" x14ac:dyDescent="0.45">
      <c r="A2265">
        <v>2263</v>
      </c>
      <c r="B2265" t="s">
        <v>7</v>
      </c>
      <c r="C2265" s="3">
        <v>1177607.3373674899</v>
      </c>
      <c r="D2265" s="3">
        <v>946467.62</v>
      </c>
      <c r="E2265" s="3">
        <v>688966.99529470701</v>
      </c>
      <c r="F2265" s="3">
        <v>1699953.4087746399</v>
      </c>
      <c r="G2265" s="1">
        <v>45565</v>
      </c>
      <c r="H2265" s="2">
        <v>45444</v>
      </c>
    </row>
    <row r="2266" spans="1:8" hidden="1" x14ac:dyDescent="0.45">
      <c r="A2266">
        <v>2264</v>
      </c>
      <c r="B2266" t="s">
        <v>7</v>
      </c>
      <c r="C2266" s="3">
        <v>1311110.7975085001</v>
      </c>
      <c r="D2266" s="3">
        <v>1113439.3899999999</v>
      </c>
      <c r="E2266" s="3">
        <v>767252.16377643496</v>
      </c>
      <c r="F2266" s="3">
        <v>1901501.62363851</v>
      </c>
      <c r="G2266" s="1">
        <v>45565</v>
      </c>
      <c r="H2266" s="2">
        <v>45474</v>
      </c>
    </row>
    <row r="2267" spans="1:8" hidden="1" x14ac:dyDescent="0.45">
      <c r="A2267">
        <v>2265</v>
      </c>
      <c r="B2267" t="s">
        <v>7</v>
      </c>
      <c r="C2267" s="3">
        <v>1301010.7596899299</v>
      </c>
      <c r="D2267" s="3">
        <v>1163362.48</v>
      </c>
      <c r="E2267" s="3">
        <v>761705.53480803897</v>
      </c>
      <c r="F2267" s="3">
        <v>1888181.7310329</v>
      </c>
      <c r="G2267" s="1">
        <v>45565</v>
      </c>
      <c r="H2267" s="2">
        <v>45505</v>
      </c>
    </row>
    <row r="2268" spans="1:8" hidden="1" x14ac:dyDescent="0.45">
      <c r="A2268">
        <v>2266</v>
      </c>
      <c r="B2268" t="s">
        <v>7</v>
      </c>
      <c r="C2268" s="3">
        <v>1469347.59605296</v>
      </c>
      <c r="D2268" s="3">
        <v>1933100.88</v>
      </c>
      <c r="E2268" s="3">
        <v>867051.51422575105</v>
      </c>
      <c r="F2268" s="3">
        <v>2105898.6384206</v>
      </c>
      <c r="G2268" s="1">
        <v>45565</v>
      </c>
      <c r="H2268" s="2">
        <v>45536</v>
      </c>
    </row>
    <row r="2269" spans="1:8" hidden="1" x14ac:dyDescent="0.45">
      <c r="A2269">
        <v>2267</v>
      </c>
      <c r="B2269" t="s">
        <v>8</v>
      </c>
      <c r="C2269" s="3">
        <v>1165867.9807253701</v>
      </c>
      <c r="D2269" s="3">
        <v>704891.46</v>
      </c>
      <c r="E2269" s="3">
        <v>633199.67843709805</v>
      </c>
      <c r="F2269" s="3">
        <v>1749640.4093156001</v>
      </c>
      <c r="G2269" s="1">
        <v>45565</v>
      </c>
      <c r="H2269" s="2">
        <v>45566</v>
      </c>
    </row>
    <row r="2270" spans="1:8" hidden="1" x14ac:dyDescent="0.45">
      <c r="A2270">
        <v>2268</v>
      </c>
      <c r="B2270" t="s">
        <v>8</v>
      </c>
      <c r="C2270" s="3">
        <v>2195194.5972383399</v>
      </c>
      <c r="D2270" s="3"/>
      <c r="E2270" s="3">
        <v>1299131.9656122201</v>
      </c>
      <c r="F2270" s="3">
        <v>3169009.2503982298</v>
      </c>
      <c r="G2270" s="1">
        <v>45565</v>
      </c>
      <c r="H2270" s="2">
        <v>45597</v>
      </c>
    </row>
    <row r="2271" spans="1:8" hidden="1" x14ac:dyDescent="0.45">
      <c r="A2271">
        <v>2269</v>
      </c>
      <c r="B2271" t="s">
        <v>8</v>
      </c>
      <c r="C2271" s="3">
        <v>866109.34398852102</v>
      </c>
      <c r="D2271" s="3"/>
      <c r="E2271" s="3">
        <v>452834.11964083998</v>
      </c>
      <c r="F2271" s="3">
        <v>1324610.0091265</v>
      </c>
      <c r="G2271" s="1">
        <v>45565</v>
      </c>
      <c r="H2271" s="2">
        <v>45627</v>
      </c>
    </row>
    <row r="2272" spans="1:8" hidden="1" x14ac:dyDescent="0.45">
      <c r="A2272">
        <v>2270</v>
      </c>
      <c r="B2272" t="s">
        <v>8</v>
      </c>
      <c r="C2272" s="3">
        <v>1239005.1688425301</v>
      </c>
      <c r="D2272" s="3"/>
      <c r="E2272" s="3">
        <v>690978.11137554096</v>
      </c>
      <c r="F2272" s="3">
        <v>1853260.7497930501</v>
      </c>
      <c r="G2272" s="1">
        <v>45565</v>
      </c>
      <c r="H2272" s="2">
        <v>45658</v>
      </c>
    </row>
    <row r="2273" spans="1:8" hidden="1" x14ac:dyDescent="0.45">
      <c r="A2273">
        <v>2271</v>
      </c>
      <c r="B2273" t="s">
        <v>8</v>
      </c>
      <c r="C2273" s="3">
        <v>1068776.5124325701</v>
      </c>
      <c r="D2273" s="3"/>
      <c r="E2273" s="3">
        <v>564970.63963177195</v>
      </c>
      <c r="F2273" s="3">
        <v>1626448.9548027799</v>
      </c>
      <c r="G2273" s="1">
        <v>45565</v>
      </c>
      <c r="H2273" s="2">
        <v>45689</v>
      </c>
    </row>
    <row r="2274" spans="1:8" hidden="1" x14ac:dyDescent="0.45">
      <c r="A2274">
        <v>2272</v>
      </c>
      <c r="B2274" t="s">
        <v>8</v>
      </c>
      <c r="C2274" s="3">
        <v>1329826.79088319</v>
      </c>
      <c r="D2274" s="3"/>
      <c r="E2274" s="3">
        <v>752876.44800141104</v>
      </c>
      <c r="F2274" s="3">
        <v>1962211.5226463201</v>
      </c>
      <c r="G2274" s="1">
        <v>45565</v>
      </c>
      <c r="H2274" s="2">
        <v>45717</v>
      </c>
    </row>
    <row r="2275" spans="1:8" hidden="1" x14ac:dyDescent="0.45">
      <c r="A2275">
        <v>2273</v>
      </c>
      <c r="B2275" t="s">
        <v>8</v>
      </c>
      <c r="C2275" s="3">
        <v>1063105.90155871</v>
      </c>
      <c r="D2275" s="3"/>
      <c r="E2275" s="3">
        <v>579366.17814324505</v>
      </c>
      <c r="F2275" s="3">
        <v>1595693.1411151399</v>
      </c>
      <c r="G2275" s="1">
        <v>45565</v>
      </c>
      <c r="H2275" s="2">
        <v>45748</v>
      </c>
    </row>
    <row r="2276" spans="1:8" hidden="1" x14ac:dyDescent="0.45">
      <c r="A2276">
        <v>2274</v>
      </c>
      <c r="B2276" t="s">
        <v>8</v>
      </c>
      <c r="C2276" s="3">
        <v>1038330.45870444</v>
      </c>
      <c r="D2276" s="3"/>
      <c r="E2276" s="3">
        <v>564472.901463788</v>
      </c>
      <c r="F2276" s="3">
        <v>1569216.7658283401</v>
      </c>
      <c r="G2276" s="1">
        <v>45565</v>
      </c>
      <c r="H2276" s="2">
        <v>45778</v>
      </c>
    </row>
    <row r="2277" spans="1:8" hidden="1" x14ac:dyDescent="0.45">
      <c r="A2277">
        <v>2275</v>
      </c>
      <c r="B2277" t="s">
        <v>8</v>
      </c>
      <c r="C2277" s="3">
        <v>1072905.4819718699</v>
      </c>
      <c r="D2277" s="3"/>
      <c r="E2277" s="3">
        <v>583843.76984689105</v>
      </c>
      <c r="F2277" s="3">
        <v>1599302.77299777</v>
      </c>
      <c r="G2277" s="1">
        <v>45565</v>
      </c>
      <c r="H2277" s="2">
        <v>45809</v>
      </c>
    </row>
    <row r="2278" spans="1:8" hidden="1" x14ac:dyDescent="0.45">
      <c r="A2278">
        <v>2276</v>
      </c>
      <c r="B2278" t="s">
        <v>8</v>
      </c>
      <c r="C2278" s="3">
        <v>1166524.2768228999</v>
      </c>
      <c r="D2278" s="3"/>
      <c r="E2278" s="3">
        <v>648040.55260056199</v>
      </c>
      <c r="F2278" s="3">
        <v>1747221.1290346901</v>
      </c>
      <c r="G2278" s="1">
        <v>45565</v>
      </c>
      <c r="H2278" s="2">
        <v>45839</v>
      </c>
    </row>
    <row r="2279" spans="1:8" hidden="1" x14ac:dyDescent="0.45">
      <c r="A2279">
        <v>2277</v>
      </c>
      <c r="B2279" t="s">
        <v>8</v>
      </c>
      <c r="C2279" s="3">
        <v>1174485.9241742501</v>
      </c>
      <c r="D2279" s="3"/>
      <c r="E2279" s="3">
        <v>659818.16616154602</v>
      </c>
      <c r="F2279" s="3">
        <v>1731672.61693975</v>
      </c>
      <c r="G2279" s="1">
        <v>45565</v>
      </c>
      <c r="H2279" s="2">
        <v>45870</v>
      </c>
    </row>
    <row r="2280" spans="1:8" hidden="1" x14ac:dyDescent="0.45">
      <c r="A2280">
        <v>2278</v>
      </c>
      <c r="B2280" t="s">
        <v>8</v>
      </c>
      <c r="C2280" s="3">
        <v>1293324.9404460101</v>
      </c>
      <c r="D2280" s="3"/>
      <c r="E2280" s="3">
        <v>739589.66082112398</v>
      </c>
      <c r="F2280" s="3">
        <v>1905366.90002292</v>
      </c>
      <c r="G2280" s="1">
        <v>45565</v>
      </c>
      <c r="H2280" s="2">
        <v>45901</v>
      </c>
    </row>
    <row r="2281" spans="1:8" hidden="1" x14ac:dyDescent="0.45">
      <c r="A2281">
        <v>2279</v>
      </c>
      <c r="B2281" t="s">
        <v>8</v>
      </c>
      <c r="C2281" s="3">
        <v>1056495.4692880299</v>
      </c>
      <c r="D2281" s="3"/>
      <c r="E2281" s="3">
        <v>544251.80928521405</v>
      </c>
      <c r="F2281" s="3">
        <v>1619009.3663399301</v>
      </c>
      <c r="G2281" s="1">
        <v>45565</v>
      </c>
      <c r="H2281" s="2">
        <v>45931</v>
      </c>
    </row>
  </sheetData>
  <autoFilter ref="A1:H2281" xr:uid="{87CC7887-268F-4883-9198-1E9E43D2CB3C}">
    <filterColumn colId="6">
      <filters>
        <dateGroupItem year="2021" month="7" dateTimeGrouping="month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C5E75-2C58-4AA1-B392-1D26DD0AB005}">
  <dimension ref="A1:J42"/>
  <sheetViews>
    <sheetView tabSelected="1" topLeftCell="J1" zoomScale="64" zoomScaleNormal="64" workbookViewId="0">
      <selection activeCell="E3" sqref="E3"/>
    </sheetView>
  </sheetViews>
  <sheetFormatPr defaultRowHeight="14.25" x14ac:dyDescent="0.45"/>
  <cols>
    <col min="1" max="1" width="14.796875" style="1" bestFit="1" customWidth="1"/>
    <col min="2" max="4" width="14.796875" style="1" customWidth="1"/>
    <col min="5" max="6" width="12.86328125" bestFit="1" customWidth="1"/>
    <col min="7" max="7" width="14" bestFit="1" customWidth="1"/>
    <col min="8" max="8" width="12.86328125" bestFit="1" customWidth="1"/>
    <col min="9" max="10" width="14" bestFit="1" customWidth="1"/>
  </cols>
  <sheetData>
    <row r="1" spans="1:10" x14ac:dyDescent="0.45">
      <c r="E1" s="5" t="s">
        <v>13</v>
      </c>
      <c r="F1" s="5"/>
      <c r="G1" s="5" t="s">
        <v>15</v>
      </c>
      <c r="H1" s="5"/>
      <c r="I1" s="5" t="s">
        <v>16</v>
      </c>
      <c r="J1" s="5"/>
    </row>
    <row r="2" spans="1:10" x14ac:dyDescent="0.45">
      <c r="A2" t="s">
        <v>9</v>
      </c>
      <c r="B2" t="s">
        <v>10</v>
      </c>
      <c r="C2" t="s">
        <v>11</v>
      </c>
      <c r="D2" t="s">
        <v>12</v>
      </c>
      <c r="E2" t="s">
        <v>17</v>
      </c>
      <c r="F2" t="s">
        <v>14</v>
      </c>
      <c r="G2" t="s">
        <v>17</v>
      </c>
      <c r="H2" t="s">
        <v>14</v>
      </c>
      <c r="I2" t="s">
        <v>17</v>
      </c>
      <c r="J2" t="s">
        <v>14</v>
      </c>
    </row>
    <row r="3" spans="1:10" x14ac:dyDescent="0.45">
      <c r="A3" s="1" cm="1">
        <f t="array" ref="A3:A42">_xlfn._xlws.SORT(_xlfn.UNIQUE(model_log_1227!G2:G2281))</f>
        <v>44377</v>
      </c>
      <c r="B3" s="1">
        <f>DATE(YEAR($A3),MONTH($A3)+3,DAY($A3))</f>
        <v>44469</v>
      </c>
      <c r="C3" s="1">
        <f>DATE(YEAR($A3),MONTH($A3)+6,DAY($A3))</f>
        <v>44560</v>
      </c>
      <c r="D3" s="1">
        <f>DATE(YEAR($A3),MONTH($A3)+12,DAY($A3))</f>
        <v>44742</v>
      </c>
      <c r="E3" s="4" cm="1">
        <f t="array" ref="E3">IF(COUNT(_xlfn._xlws.FILTER(Predicted_Revenue,(Prediction_date=$A3)*(Period&gt;$A3)*(Period&lt;$B3)))&gt;=3, SUM(_xlfn._xlws.FILTER(Predicted_Revenue,(Prediction_date=$A3)*(Period&gt;$A3)*(Period&lt;$B3))), NA())</f>
        <v>1361292.378832808</v>
      </c>
      <c r="F3" s="4" cm="1">
        <f t="array" ref="F3">IF(COUNT(_xlfn._xlws.FILTER(Actual_Revenue, (Prediction_date=$A3)*(Period&gt;$A3)*(Period&lt;$B3)))&gt;=3, SUM(_xlfn._xlws.FILTER(Actual_Revenue, (Prediction_date=$A3)*(Period&gt;$A3)*(Period&lt;$B3))), NA())</f>
        <v>1954485.42</v>
      </c>
      <c r="G3" s="4" cm="1">
        <f t="array" ref="G3">IF(COUNT(_xlfn._xlws.FILTER(Predicted_Revenue, (Prediction_date=$A3)*(Period&gt;$A3)*(Period&lt;$C3)))&gt;=6, SUM(_xlfn._xlws.FILTER(Predicted_Revenue, (Prediction_date=$A3)*(Period&gt;$A3)*(Period&lt;$C3))), NA())</f>
        <v>3582070.0352303172</v>
      </c>
      <c r="H3" s="4" cm="1">
        <f t="array" ref="H3">IF(COUNT(_xlfn._xlws.FILTER(Actual_Revenue, (Prediction_date=$A3)*(Period&gt;$A3)*(Period&lt;$C3)))&gt;=6,SUM(_xlfn._xlws.FILTER(Actual_Revenue, (Prediction_date=$A3)*(Period&gt;$A3)*(Period&lt;$C3))), NA())</f>
        <v>3292254.23</v>
      </c>
      <c r="I3" s="4" cm="1">
        <f t="array" ref="I3">IF(COUNT(_xlfn._xlws.FILTER(Predicted_Revenue, (Prediction_date=$A3)*(Period&gt;$A3)*(Period&lt;$D3)))&gt;=12,SUM(_xlfn._xlws.FILTER(Predicted_Revenue, (Prediction_date=$A3)*(Period&gt;$A3)*(Period&lt;$D3))), NA())</f>
        <v>14398942.309627751</v>
      </c>
      <c r="J3" s="4" cm="1">
        <f t="array" ref="J3">IF(COUNT(_xlfn._xlws.FILTER(Actual_Revenue, (Prediction_date=$A3)*(Period&gt;$A3)*(Period&lt;$D3)))&gt;=12, SUM(_xlfn._xlws.FILTER(Actual_Revenue, (Prediction_date=$A3)*(Period&gt;$A3)*(Period&lt;$D3))), NA())</f>
        <v>5194535.3199999994</v>
      </c>
    </row>
    <row r="4" spans="1:10" x14ac:dyDescent="0.45">
      <c r="A4" s="1">
        <v>44408</v>
      </c>
      <c r="B4" s="1">
        <f t="shared" ref="B4:B42" si="0">DATE(YEAR($A4),MONTH($A4)+3,DAY($A4))</f>
        <v>44500</v>
      </c>
      <c r="C4" s="1">
        <f t="shared" ref="C4:C42" si="1">DATE(YEAR($A4),MONTH($A4)+6,DAY($A4))</f>
        <v>44592</v>
      </c>
      <c r="D4" s="1">
        <f t="shared" ref="D4:D42" si="2">DATE(YEAR($A4),MONTH($A4)+12,DAY($A4))</f>
        <v>44773</v>
      </c>
      <c r="E4" s="4" cm="1">
        <f t="array" ref="E4">IF(COUNT(_xlfn._xlws.FILTER(Predicted_Revenue,(Prediction_date=$A4)*(Period&gt;$A4)*(Period&lt;$B4)))&gt;=3, SUM(_xlfn._xlws.FILTER(Predicted_Revenue,(Prediction_date=$A4)*(Period&gt;$A4)*(Period&lt;$B4))), NA())</f>
        <v>3527430.257079504</v>
      </c>
      <c r="F4" s="4" cm="1">
        <f t="array" ref="F4">IF(COUNT(_xlfn._xlws.FILTER(Actual_Revenue, (Prediction_date=$A4)*(Period&gt;$A4)*(Period&lt;$B4)))&gt;=3, SUM(_xlfn._xlws.FILTER(Actual_Revenue, (Prediction_date=$A4)*(Period&gt;$A4)*(Period&lt;$B4))), NA())</f>
        <v>2446554.44</v>
      </c>
      <c r="G4" s="4" cm="1">
        <f t="array" ref="G4">IF(COUNT(_xlfn._xlws.FILTER(Predicted_Revenue, (Prediction_date=$A4)*(Period&gt;$A4)*(Period&lt;$C4)))&gt;=6, SUM(_xlfn._xlws.FILTER(Predicted_Revenue, (Prediction_date=$A4)*(Period&gt;$A4)*(Period&lt;$C4))), NA())</f>
        <v>8913324.0530068539</v>
      </c>
      <c r="H4" s="4" cm="1">
        <f t="array" ref="H4">IF(COUNT(_xlfn._xlws.FILTER(Actual_Revenue, (Prediction_date=$A4)*(Period&gt;$A4)*(Period&lt;$C4)))&gt;=6,SUM(_xlfn._xlws.FILTER(Actual_Revenue, (Prediction_date=$A4)*(Period&gt;$A4)*(Period&lt;$C4))), NA())</f>
        <v>5206389.9400000004</v>
      </c>
      <c r="I4" s="4" cm="1">
        <f t="array" ref="I4">IF(COUNT(_xlfn._xlws.FILTER(Predicted_Revenue, (Prediction_date=$A4)*(Period&gt;$A4)*(Period&lt;$D4)))&gt;=12,SUM(_xlfn._xlws.FILTER(Predicted_Revenue, (Prediction_date=$A4)*(Period&gt;$A4)*(Period&lt;$D4))), NA())</f>
        <v>29919336.836673014</v>
      </c>
      <c r="J4" s="4" cm="1">
        <f t="array" ref="J4">IF(COUNT(_xlfn._xlws.FILTER(Actual_Revenue, (Prediction_date=$A4)*(Period&gt;$A4)*(Period&lt;$D4)))&gt;=12, SUM(_xlfn._xlws.FILTER(Actual_Revenue, (Prediction_date=$A4)*(Period&gt;$A4)*(Period&lt;$D4))), NA())</f>
        <v>8463212.6699999999</v>
      </c>
    </row>
    <row r="5" spans="1:10" x14ac:dyDescent="0.45">
      <c r="A5" s="1">
        <v>44439</v>
      </c>
      <c r="B5" s="1">
        <f t="shared" si="0"/>
        <v>44531</v>
      </c>
      <c r="C5" s="1">
        <f t="shared" si="1"/>
        <v>44623</v>
      </c>
      <c r="D5" s="1">
        <f t="shared" si="2"/>
        <v>44804</v>
      </c>
      <c r="E5" s="4" cm="1">
        <f t="array" ref="E5">IF(COUNT(_xlfn._xlws.FILTER(Predicted_Revenue,(Prediction_date=$A5)*(Period&gt;$A5)*(Period&lt;$B5)))&gt;=3, SUM(_xlfn._xlws.FILTER(Predicted_Revenue,(Prediction_date=$A5)*(Period&gt;$A5)*(Period&lt;$B5))), NA())</f>
        <v>3402407.1802537004</v>
      </c>
      <c r="F5" s="4" cm="1">
        <f t="array" ref="F5">IF(COUNT(_xlfn._xlws.FILTER(Actual_Revenue, (Prediction_date=$A5)*(Period&gt;$A5)*(Period&lt;$B5)))&gt;=3, SUM(_xlfn._xlws.FILTER(Actual_Revenue, (Prediction_date=$A5)*(Period&gt;$A5)*(Period&lt;$B5))), NA())</f>
        <v>4827939.4800000004</v>
      </c>
      <c r="G5" s="4" cm="1">
        <f t="array" ref="G5">IF(COUNT(_xlfn._xlws.FILTER(Predicted_Revenue, (Prediction_date=$A5)*(Period&gt;$A5)*(Period&lt;$C5)))&gt;=6, SUM(_xlfn._xlws.FILTER(Predicted_Revenue, (Prediction_date=$A5)*(Period&gt;$A5)*(Period&lt;$C5))), NA())</f>
        <v>7414807.1057889927</v>
      </c>
      <c r="H5" s="4" cm="1">
        <f t="array" ref="H5">IF(COUNT(_xlfn._xlws.FILTER(Actual_Revenue, (Prediction_date=$A5)*(Period&gt;$A5)*(Period&lt;$C5)))&gt;=6,SUM(_xlfn._xlws.FILTER(Actual_Revenue, (Prediction_date=$A5)*(Period&gt;$A5)*(Period&lt;$C5))), NA())</f>
        <v>8132119.0699999994</v>
      </c>
      <c r="I5" s="4" cm="1">
        <f t="array" ref="I5">IF(COUNT(_xlfn._xlws.FILTER(Predicted_Revenue, (Prediction_date=$A5)*(Period&gt;$A5)*(Period&lt;$D5)))&gt;=12,SUM(_xlfn._xlws.FILTER(Predicted_Revenue, (Prediction_date=$A5)*(Period&gt;$A5)*(Period&lt;$D5))), NA())</f>
        <v>14374420.023605466</v>
      </c>
      <c r="J5" s="4" cm="1">
        <f t="array" ref="J5">IF(COUNT(_xlfn._xlws.FILTER(Actual_Revenue, (Prediction_date=$A5)*(Period&gt;$A5)*(Period&lt;$D5)))&gt;=12, SUM(_xlfn._xlws.FILTER(Actual_Revenue, (Prediction_date=$A5)*(Period&gt;$A5)*(Period&lt;$D5))), NA())</f>
        <v>10689110.810000001</v>
      </c>
    </row>
    <row r="6" spans="1:10" x14ac:dyDescent="0.45">
      <c r="A6" s="1">
        <v>44469</v>
      </c>
      <c r="B6" s="1">
        <f t="shared" si="0"/>
        <v>44560</v>
      </c>
      <c r="C6" s="1">
        <f t="shared" si="1"/>
        <v>44650</v>
      </c>
      <c r="D6" s="1">
        <f t="shared" si="2"/>
        <v>44834</v>
      </c>
      <c r="E6" s="4" cm="1">
        <f t="array" ref="E6">IF(COUNT(_xlfn._xlws.FILTER(Predicted_Revenue,(Prediction_date=$A6)*(Period&gt;$A6)*(Period&lt;$B6)))&gt;=3, SUM(_xlfn._xlws.FILTER(Predicted_Revenue,(Prediction_date=$A6)*(Period&gt;$A6)*(Period&lt;$B6))), NA())</f>
        <v>5333944.0978225395</v>
      </c>
      <c r="F6" s="4" cm="1">
        <f t="array" ref="F6">IF(COUNT(_xlfn._xlws.FILTER(Actual_Revenue, (Prediction_date=$A6)*(Period&gt;$A6)*(Period&lt;$B6)))&gt;=3, SUM(_xlfn._xlws.FILTER(Actual_Revenue, (Prediction_date=$A6)*(Period&gt;$A6)*(Period&lt;$B6))), NA())</f>
        <v>3416524.8000000003</v>
      </c>
      <c r="G6" s="4" cm="1">
        <f t="array" ref="G6">IF(COUNT(_xlfn._xlws.FILTER(Predicted_Revenue, (Prediction_date=$A6)*(Period&gt;$A6)*(Period&lt;$C6)))&gt;=6, SUM(_xlfn._xlws.FILTER(Predicted_Revenue, (Prediction_date=$A6)*(Period&gt;$A6)*(Period&lt;$C6))), NA())</f>
        <v>10761857.79637669</v>
      </c>
      <c r="H6" s="4" cm="1">
        <f t="array" ref="H6">IF(COUNT(_xlfn._xlws.FILTER(Actual_Revenue, (Prediction_date=$A6)*(Period&gt;$A6)*(Period&lt;$C6)))&gt;=6,SUM(_xlfn._xlws.FILTER(Actual_Revenue, (Prediction_date=$A6)*(Period&gt;$A6)*(Period&lt;$C6))), NA())</f>
        <v>6758034.2299999995</v>
      </c>
      <c r="I6" s="4" cm="1">
        <f t="array" ref="I6">IF(COUNT(_xlfn._xlws.FILTER(Predicted_Revenue, (Prediction_date=$A6)*(Period&gt;$A6)*(Period&lt;$D6)))&gt;=12,SUM(_xlfn._xlws.FILTER(Predicted_Revenue, (Prediction_date=$A6)*(Period&gt;$A6)*(Period&lt;$D6))), NA())</f>
        <v>33976009.587861136</v>
      </c>
      <c r="J6" s="4" cm="1">
        <f t="array" ref="J6">IF(COUNT(_xlfn._xlws.FILTER(Actual_Revenue, (Prediction_date=$A6)*(Period&gt;$A6)*(Period&lt;$D6)))&gt;=12, SUM(_xlfn._xlws.FILTER(Actual_Revenue, (Prediction_date=$A6)*(Period&gt;$A6)*(Period&lt;$D6))), NA())</f>
        <v>9992869.8399999999</v>
      </c>
    </row>
    <row r="7" spans="1:10" x14ac:dyDescent="0.45">
      <c r="A7" s="1">
        <v>44500</v>
      </c>
      <c r="B7" s="1">
        <f t="shared" si="0"/>
        <v>44592</v>
      </c>
      <c r="C7" s="1">
        <f t="shared" si="1"/>
        <v>44682</v>
      </c>
      <c r="D7" s="1">
        <f t="shared" si="2"/>
        <v>44865</v>
      </c>
      <c r="E7" s="4" cm="1">
        <f t="array" ref="E7">IF(COUNT(_xlfn._xlws.FILTER(Predicted_Revenue,(Prediction_date=$A7)*(Period&gt;$A7)*(Period&lt;$B7)))&gt;=3, SUM(_xlfn._xlws.FILTER(Predicted_Revenue,(Prediction_date=$A7)*(Period&gt;$A7)*(Period&lt;$B7))), NA())</f>
        <v>4125506.1123965802</v>
      </c>
      <c r="F7" s="4" cm="1">
        <f t="array" ref="F7">IF(COUNT(_xlfn._xlws.FILTER(Actual_Revenue, (Prediction_date=$A7)*(Period&gt;$A7)*(Period&lt;$B7)))&gt;=3, SUM(_xlfn._xlws.FILTER(Actual_Revenue, (Prediction_date=$A7)*(Period&gt;$A7)*(Period&lt;$B7))), NA())</f>
        <v>4078481.74</v>
      </c>
      <c r="G7" s="4" cm="1">
        <f t="array" ref="G7">IF(COUNT(_xlfn._xlws.FILTER(Predicted_Revenue, (Prediction_date=$A7)*(Period&gt;$A7)*(Period&lt;$C7)))&gt;=6, SUM(_xlfn._xlws.FILTER(Predicted_Revenue, (Prediction_date=$A7)*(Period&gt;$A7)*(Period&lt;$C7))), NA())</f>
        <v>6674545.6507477369</v>
      </c>
      <c r="H7" s="4" cm="1">
        <f t="array" ref="H7">IF(COUNT(_xlfn._xlws.FILTER(Actual_Revenue, (Prediction_date=$A7)*(Period&gt;$A7)*(Period&lt;$C7)))&gt;=6,SUM(_xlfn._xlws.FILTER(Actual_Revenue, (Prediction_date=$A7)*(Period&gt;$A7)*(Period&lt;$C7))), NA())</f>
        <v>6818054.6000000006</v>
      </c>
      <c r="I7" s="4" cm="1">
        <f t="array" ref="I7">IF(COUNT(_xlfn._xlws.FILTER(Predicted_Revenue, (Prediction_date=$A7)*(Period&gt;$A7)*(Period&lt;$D7)))&gt;=12,SUM(_xlfn._xlws.FILTER(Predicted_Revenue, (Prediction_date=$A7)*(Period&gt;$A7)*(Period&lt;$D7))), NA())</f>
        <v>18889545.881200127</v>
      </c>
      <c r="J7" s="4" cm="1">
        <f t="array" ref="J7">IF(COUNT(_xlfn._xlws.FILTER(Actual_Revenue, (Prediction_date=$A7)*(Period&gt;$A7)*(Period&lt;$D7)))&gt;=12, SUM(_xlfn._xlws.FILTER(Actual_Revenue, (Prediction_date=$A7)*(Period&gt;$A7)*(Period&lt;$D7))), NA())</f>
        <v>10808240.849999998</v>
      </c>
    </row>
    <row r="8" spans="1:10" x14ac:dyDescent="0.45">
      <c r="A8" s="1">
        <v>44530</v>
      </c>
      <c r="B8" s="1">
        <f t="shared" si="0"/>
        <v>44622</v>
      </c>
      <c r="C8" s="1">
        <f t="shared" si="1"/>
        <v>44711</v>
      </c>
      <c r="D8" s="1">
        <f t="shared" si="2"/>
        <v>44895</v>
      </c>
      <c r="E8" s="4" cm="1">
        <f t="array" ref="E8">IF(COUNT(_xlfn._xlws.FILTER(Predicted_Revenue,(Prediction_date=$A8)*(Period&gt;$A8)*(Period&lt;$B8)))&gt;=3, SUM(_xlfn._xlws.FILTER(Predicted_Revenue,(Prediction_date=$A8)*(Period&gt;$A8)*(Period&lt;$B8))), NA())</f>
        <v>6539059.0099611599</v>
      </c>
      <c r="F8" s="4" cm="1">
        <f t="array" ref="F8">IF(COUNT(_xlfn._xlws.FILTER(Actual_Revenue, (Prediction_date=$A8)*(Period&gt;$A8)*(Period&lt;$B8)))&gt;=3, SUM(_xlfn._xlws.FILTER(Actual_Revenue, (Prediction_date=$A8)*(Period&gt;$A8)*(Period&lt;$B8))), NA())</f>
        <v>4002546.3199999901</v>
      </c>
      <c r="G8" s="4" cm="1">
        <f t="array" ref="G8">IF(COUNT(_xlfn._xlws.FILTER(Predicted_Revenue, (Prediction_date=$A8)*(Period&gt;$A8)*(Period&lt;$C8)))&gt;=6, SUM(_xlfn._xlws.FILTER(Predicted_Revenue, (Prediction_date=$A8)*(Period&gt;$A8)*(Period&lt;$C8))), NA())</f>
        <v>9764794.7126776986</v>
      </c>
      <c r="H8" s="4" cm="1">
        <f t="array" ref="H8">IF(COUNT(_xlfn._xlws.FILTER(Actual_Revenue, (Prediction_date=$A8)*(Period&gt;$A8)*(Period&lt;$C8)))&gt;=6,SUM(_xlfn._xlws.FILTER(Actual_Revenue, (Prediction_date=$A8)*(Period&gt;$A8)*(Period&lt;$C8))), NA())</f>
        <v>4504866.9499999899</v>
      </c>
      <c r="I8" s="4" cm="1">
        <f t="array" ref="I8">IF(COUNT(_xlfn._xlws.FILTER(Predicted_Revenue, (Prediction_date=$A8)*(Period&gt;$A8)*(Period&lt;$D8)))&gt;=12,SUM(_xlfn._xlws.FILTER(Predicted_Revenue, (Prediction_date=$A8)*(Period&gt;$A8)*(Period&lt;$D8))), NA())</f>
        <v>28836758.193862513</v>
      </c>
      <c r="J8" s="4" cm="1">
        <f t="array" ref="J8">IF(COUNT(_xlfn._xlws.FILTER(Actual_Revenue, (Prediction_date=$A8)*(Period&gt;$A8)*(Period&lt;$D8)))&gt;=12, SUM(_xlfn._xlws.FILTER(Actual_Revenue, (Prediction_date=$A8)*(Period&gt;$A8)*(Period&lt;$D8))), NA())</f>
        <v>9272449.8799999896</v>
      </c>
    </row>
    <row r="9" spans="1:10" x14ac:dyDescent="0.45">
      <c r="A9" s="1">
        <v>44561</v>
      </c>
      <c r="B9" s="1">
        <f t="shared" si="0"/>
        <v>44651</v>
      </c>
      <c r="C9" s="1">
        <f t="shared" si="1"/>
        <v>44743</v>
      </c>
      <c r="D9" s="1">
        <f t="shared" si="2"/>
        <v>44926</v>
      </c>
      <c r="E9" s="4" cm="1">
        <f t="array" ref="E9">IF(COUNT(_xlfn._xlws.FILTER(Predicted_Revenue,(Prediction_date=$A9)*(Period&gt;$A9)*(Period&lt;$B9)))&gt;=3, SUM(_xlfn._xlws.FILTER(Predicted_Revenue,(Prediction_date=$A9)*(Period&gt;$A9)*(Period&lt;$B9))), NA())</f>
        <v>4329775.3048415603</v>
      </c>
      <c r="F9" s="4" cm="1">
        <f t="array" ref="F9">IF(COUNT(_xlfn._xlws.FILTER(Actual_Revenue, (Prediction_date=$A9)*(Period&gt;$A9)*(Period&lt;$B9)))&gt;=3, SUM(_xlfn._xlws.FILTER(Actual_Revenue, (Prediction_date=$A9)*(Period&gt;$A9)*(Period&lt;$B9))), NA())</f>
        <v>4626699.5299999993</v>
      </c>
      <c r="G9" s="4" cm="1">
        <f t="array" ref="G9">IF(COUNT(_xlfn._xlws.FILTER(Predicted_Revenue, (Prediction_date=$A9)*(Period&gt;$A9)*(Period&lt;$C9)))&gt;=6, SUM(_xlfn._xlws.FILTER(Predicted_Revenue, (Prediction_date=$A9)*(Period&gt;$A9)*(Period&lt;$C9))), NA())</f>
        <v>10975094.206838939</v>
      </c>
      <c r="H9" s="4" cm="1">
        <f t="array" ref="H9">IF(COUNT(_xlfn._xlws.FILTER(Actual_Revenue, (Prediction_date=$A9)*(Period&gt;$A9)*(Period&lt;$C9)))&gt;=6,SUM(_xlfn._xlws.FILTER(Actual_Revenue, (Prediction_date=$A9)*(Period&gt;$A9)*(Period&lt;$C9))), NA())</f>
        <v>6346808.25</v>
      </c>
      <c r="I9" s="4" cm="1">
        <f t="array" ref="I9">IF(COUNT(_xlfn._xlws.FILTER(Predicted_Revenue, (Prediction_date=$A9)*(Period&gt;$A9)*(Period&lt;$D9)))&gt;=12,SUM(_xlfn._xlws.FILTER(Predicted_Revenue, (Prediction_date=$A9)*(Period&gt;$A9)*(Period&lt;$D9))), NA())</f>
        <v>27045842.133080021</v>
      </c>
      <c r="J9" s="4" cm="1">
        <f t="array" ref="J9">IF(COUNT(_xlfn._xlws.FILTER(Actual_Revenue, (Prediction_date=$A9)*(Period&gt;$A9)*(Period&lt;$D9)))&gt;=12, SUM(_xlfn._xlws.FILTER(Actual_Revenue, (Prediction_date=$A9)*(Period&gt;$A9)*(Period&lt;$D9))), NA())</f>
        <v>11004721.800000001</v>
      </c>
    </row>
    <row r="10" spans="1:10" x14ac:dyDescent="0.45">
      <c r="A10" s="1">
        <v>44592</v>
      </c>
      <c r="B10" s="1">
        <f t="shared" si="0"/>
        <v>44682</v>
      </c>
      <c r="C10" s="1">
        <f t="shared" si="1"/>
        <v>44773</v>
      </c>
      <c r="D10" s="1">
        <f t="shared" si="2"/>
        <v>44957</v>
      </c>
      <c r="E10" s="4" cm="1">
        <f t="array" ref="E10">IF(COUNT(_xlfn._xlws.FILTER(Predicted_Revenue,(Prediction_date=$A10)*(Period&gt;$A10)*(Period&lt;$B10)))&gt;=3, SUM(_xlfn._xlws.FILTER(Predicted_Revenue,(Prediction_date=$A10)*(Period&gt;$A10)*(Period&lt;$B10))), NA())</f>
        <v>3432612.1909167897</v>
      </c>
      <c r="F10" s="4" cm="1">
        <f t="array" ref="F10">IF(COUNT(_xlfn._xlws.FILTER(Actual_Revenue, (Prediction_date=$A10)*(Period&gt;$A10)*(Period&lt;$B10)))&gt;=3, SUM(_xlfn._xlws.FILTER(Actual_Revenue, (Prediction_date=$A10)*(Period&gt;$A10)*(Period&lt;$B10))), NA())</f>
        <v>3570660.7899999991</v>
      </c>
      <c r="G10" s="4" cm="1">
        <f t="array" ref="G10">IF(COUNT(_xlfn._xlws.FILTER(Predicted_Revenue, (Prediction_date=$A10)*(Period&gt;$A10)*(Period&lt;$C10)))&gt;=6, SUM(_xlfn._xlws.FILTER(Predicted_Revenue, (Prediction_date=$A10)*(Period&gt;$A10)*(Period&lt;$C10))), NA())</f>
        <v>12127129.324226759</v>
      </c>
      <c r="H10" s="4" cm="1">
        <f t="array" ref="H10">IF(COUNT(_xlfn._xlws.FILTER(Actual_Revenue, (Prediction_date=$A10)*(Period&gt;$A10)*(Period&lt;$C10)))&gt;=6,SUM(_xlfn._xlws.FILTER(Actual_Revenue, (Prediction_date=$A10)*(Period&gt;$A10)*(Period&lt;$C10))), NA())</f>
        <v>5905074.9299999988</v>
      </c>
      <c r="I10" s="4" cm="1">
        <f t="array" ref="I10">IF(COUNT(_xlfn._xlws.FILTER(Predicted_Revenue, (Prediction_date=$A10)*(Period&gt;$A10)*(Period&lt;$D10)))&gt;=12,SUM(_xlfn._xlws.FILTER(Predicted_Revenue, (Prediction_date=$A10)*(Period&gt;$A10)*(Period&lt;$D10))), NA())</f>
        <v>23856656.502477027</v>
      </c>
      <c r="J10" s="4" cm="1">
        <f t="array" ref="J10">IF(COUNT(_xlfn._xlws.FILTER(Actual_Revenue, (Prediction_date=$A10)*(Period&gt;$A10)*(Period&lt;$D10)))&gt;=12, SUM(_xlfn._xlws.FILTER(Actual_Revenue, (Prediction_date=$A10)*(Period&gt;$A10)*(Period&lt;$D10))), NA())</f>
        <v>10710900.719999999</v>
      </c>
    </row>
    <row r="11" spans="1:10" x14ac:dyDescent="0.45">
      <c r="A11" s="1">
        <v>44620</v>
      </c>
      <c r="B11" s="1">
        <f t="shared" si="0"/>
        <v>44709</v>
      </c>
      <c r="C11" s="1">
        <f t="shared" si="1"/>
        <v>44801</v>
      </c>
      <c r="D11" s="1">
        <f t="shared" si="2"/>
        <v>44985</v>
      </c>
      <c r="E11" s="4" cm="1">
        <f t="array" ref="E11">IF(COUNT(_xlfn._xlws.FILTER(Predicted_Revenue,(Prediction_date=$A11)*(Period&gt;$A11)*(Period&lt;$B11)))&gt;=3, SUM(_xlfn._xlws.FILTER(Predicted_Revenue,(Prediction_date=$A11)*(Period&gt;$A11)*(Period&lt;$B11))), NA())</f>
        <v>3534673.418245391</v>
      </c>
      <c r="F11" s="4" cm="1">
        <f t="array" ref="F11">IF(COUNT(_xlfn._xlws.FILTER(Actual_Revenue, (Prediction_date=$A11)*(Period&gt;$A11)*(Period&lt;$B11)))&gt;=3, SUM(_xlfn._xlws.FILTER(Actual_Revenue, (Prediction_date=$A11)*(Period&gt;$A11)*(Period&lt;$B11))), NA())</f>
        <v>3310414.3199999994</v>
      </c>
      <c r="G11" s="4" cm="1">
        <f t="array" ref="G11">IF(COUNT(_xlfn._xlws.FILTER(Predicted_Revenue, (Prediction_date=$A11)*(Period&gt;$A11)*(Period&lt;$C11)))&gt;=6, SUM(_xlfn._xlws.FILTER(Predicted_Revenue, (Prediction_date=$A11)*(Period&gt;$A11)*(Period&lt;$C11))), NA())</f>
        <v>12040528.733777359</v>
      </c>
      <c r="H11" s="4" cm="1">
        <f t="array" ref="H11">IF(COUNT(_xlfn._xlws.FILTER(Actual_Revenue, (Prediction_date=$A11)*(Period&gt;$A11)*(Period&lt;$C11)))&gt;=6,SUM(_xlfn._xlws.FILTER(Actual_Revenue, (Prediction_date=$A11)*(Period&gt;$A11)*(Period&lt;$C11))), NA())</f>
        <v>6291725.0999999996</v>
      </c>
      <c r="I11" s="4" cm="1">
        <f t="array" ref="I11">IF(COUNT(_xlfn._xlws.FILTER(Predicted_Revenue, (Prediction_date=$A11)*(Period&gt;$A11)*(Period&lt;$D11)))&gt;=12,SUM(_xlfn._xlws.FILTER(Predicted_Revenue, (Prediction_date=$A11)*(Period&gt;$A11)*(Period&lt;$D11))), NA())</f>
        <v>22402398.470211878</v>
      </c>
      <c r="J11" s="4" cm="1">
        <f t="array" ref="J11">IF(COUNT(_xlfn._xlws.FILTER(Actual_Revenue, (Prediction_date=$A11)*(Period&gt;$A11)*(Period&lt;$D11)))&gt;=12, SUM(_xlfn._xlws.FILTER(Actual_Revenue, (Prediction_date=$A11)*(Period&gt;$A11)*(Period&lt;$D11))), NA())</f>
        <v>10938269.249999998</v>
      </c>
    </row>
    <row r="12" spans="1:10" x14ac:dyDescent="0.45">
      <c r="A12" s="1">
        <v>44651</v>
      </c>
      <c r="B12" s="1">
        <f t="shared" si="0"/>
        <v>44743</v>
      </c>
      <c r="C12" s="1">
        <f t="shared" si="1"/>
        <v>44835</v>
      </c>
      <c r="D12" s="1">
        <f t="shared" si="2"/>
        <v>45016</v>
      </c>
      <c r="E12" s="4" cm="1">
        <f t="array" ref="E12">IF(COUNT(_xlfn._xlws.FILTER(Predicted_Revenue,(Prediction_date=$A12)*(Period&gt;$A12)*(Period&lt;$B12)))&gt;=3, SUM(_xlfn._xlws.FILTER(Predicted_Revenue,(Prediction_date=$A12)*(Period&gt;$A12)*(Period&lt;$B12))), NA())</f>
        <v>6678748.2666138401</v>
      </c>
      <c r="F12" s="4" cm="1">
        <f t="array" ref="F12">IF(COUNT(_xlfn._xlws.FILTER(Actual_Revenue, (Prediction_date=$A12)*(Period&gt;$A12)*(Period&lt;$B12)))&gt;=3, SUM(_xlfn._xlws.FILTER(Actual_Revenue, (Prediction_date=$A12)*(Period&gt;$A12)*(Period&lt;$B12))), NA())</f>
        <v>1900586.679999999</v>
      </c>
      <c r="G12" s="4" cm="1">
        <f t="array" ref="G12">IF(COUNT(_xlfn._xlws.FILTER(Predicted_Revenue, (Prediction_date=$A12)*(Period&gt;$A12)*(Period&lt;$C12)))&gt;=6, SUM(_xlfn._xlws.FILTER(Predicted_Revenue, (Prediction_date=$A12)*(Period&gt;$A12)*(Period&lt;$C12))), NA())</f>
        <v>15220977.419006368</v>
      </c>
      <c r="H12" s="4" cm="1">
        <f t="array" ref="H12">IF(COUNT(_xlfn._xlws.FILTER(Actual_Revenue, (Prediction_date=$A12)*(Period&gt;$A12)*(Period&lt;$C12)))&gt;=6,SUM(_xlfn._xlws.FILTER(Actual_Revenue, (Prediction_date=$A12)*(Period&gt;$A12)*(Period&lt;$C12))), NA())</f>
        <v>4508323.3199999984</v>
      </c>
      <c r="I12" s="4" cm="1">
        <f t="array" ref="I12">IF(COUNT(_xlfn._xlws.FILTER(Predicted_Revenue, (Prediction_date=$A12)*(Period&gt;$A12)*(Period&lt;$D12)))&gt;=12,SUM(_xlfn._xlws.FILTER(Predicted_Revenue, (Prediction_date=$A12)*(Period&gt;$A12)*(Period&lt;$D12))), NA())</f>
        <v>26414293.971110582</v>
      </c>
      <c r="J12" s="4" cm="1">
        <f t="array" ref="J12">IF(COUNT(_xlfn._xlws.FILTER(Actual_Revenue, (Prediction_date=$A12)*(Period&gt;$A12)*(Period&lt;$D12)))&gt;=12, SUM(_xlfn._xlws.FILTER(Actual_Revenue, (Prediction_date=$A12)*(Period&gt;$A12)*(Period&lt;$D12))), NA())</f>
        <v>8972592.0399999972</v>
      </c>
    </row>
    <row r="13" spans="1:10" x14ac:dyDescent="0.45">
      <c r="A13" s="1">
        <v>44681</v>
      </c>
      <c r="B13" s="1">
        <f t="shared" si="0"/>
        <v>44772</v>
      </c>
      <c r="C13" s="1">
        <f t="shared" si="1"/>
        <v>44864</v>
      </c>
      <c r="D13" s="1">
        <f t="shared" si="2"/>
        <v>45046</v>
      </c>
      <c r="E13" s="4" cm="1">
        <f t="array" ref="E13">IF(COUNT(_xlfn._xlws.FILTER(Predicted_Revenue,(Prediction_date=$A13)*(Period&gt;$A13)*(Period&lt;$B13)))&gt;=3, SUM(_xlfn._xlws.FILTER(Predicted_Revenue,(Prediction_date=$A13)*(Period&gt;$A13)*(Period&lt;$B13))), NA())</f>
        <v>9422765.5139613599</v>
      </c>
      <c r="F13" s="4" cm="1">
        <f t="array" ref="F13">IF(COUNT(_xlfn._xlws.FILTER(Actual_Revenue, (Prediction_date=$A13)*(Period&gt;$A13)*(Period&lt;$B13)))&gt;=3, SUM(_xlfn._xlws.FILTER(Actual_Revenue, (Prediction_date=$A13)*(Period&gt;$A13)*(Period&lt;$B13))), NA())</f>
        <v>2842701.9699999988</v>
      </c>
      <c r="G13" s="4" cm="1">
        <f t="array" ref="G13">IF(COUNT(_xlfn._xlws.FILTER(Predicted_Revenue, (Prediction_date=$A13)*(Period&gt;$A13)*(Period&lt;$C13)))&gt;=6, SUM(_xlfn._xlws.FILTER(Predicted_Revenue, (Prediction_date=$A13)*(Period&gt;$A13)*(Period&lt;$C13))), NA())</f>
        <v>15336226.369609771</v>
      </c>
      <c r="H13" s="4" cm="1">
        <f t="array" ref="H13">IF(COUNT(_xlfn._xlws.FILTER(Actual_Revenue, (Prediction_date=$A13)*(Period&gt;$A13)*(Period&lt;$C13)))&gt;=6,SUM(_xlfn._xlws.FILTER(Actual_Revenue, (Prediction_date=$A13)*(Period&gt;$A13)*(Period&lt;$C13))), NA())</f>
        <v>5733269.6899999985</v>
      </c>
      <c r="I13" s="4" cm="1">
        <f t="array" ref="I13">IF(COUNT(_xlfn._xlws.FILTER(Predicted_Revenue, (Prediction_date=$A13)*(Period&gt;$A13)*(Period&lt;$D13)))&gt;=12,SUM(_xlfn._xlws.FILTER(Predicted_Revenue, (Prediction_date=$A13)*(Period&gt;$A13)*(Period&lt;$D13))), NA())</f>
        <v>25326857.417371985</v>
      </c>
      <c r="J13" s="4" cm="1">
        <f t="array" ref="J13">IF(COUNT(_xlfn._xlws.FILTER(Actual_Revenue, (Prediction_date=$A13)*(Period&gt;$A13)*(Period&lt;$D13)))&gt;=12, SUM(_xlfn._xlws.FILTER(Actual_Revenue, (Prediction_date=$A13)*(Period&gt;$A13)*(Period&lt;$D13))), NA())</f>
        <v>10739603.6</v>
      </c>
    </row>
    <row r="14" spans="1:10" x14ac:dyDescent="0.45">
      <c r="A14" s="1">
        <v>44712</v>
      </c>
      <c r="B14" s="1">
        <f t="shared" si="0"/>
        <v>44804</v>
      </c>
      <c r="C14" s="1">
        <f t="shared" si="1"/>
        <v>44896</v>
      </c>
      <c r="D14" s="1">
        <f t="shared" si="2"/>
        <v>45077</v>
      </c>
      <c r="E14" s="4" cm="1">
        <f t="array" ref="E14">IF(COUNT(_xlfn._xlws.FILTER(Predicted_Revenue,(Prediction_date=$A14)*(Period&gt;$A14)*(Period&lt;$B14)))&gt;=3, SUM(_xlfn._xlws.FILTER(Predicted_Revenue,(Prediction_date=$A14)*(Period&gt;$A14)*(Period&lt;$B14))), NA())</f>
        <v>7830064.6530523803</v>
      </c>
      <c r="F14" s="4" cm="1">
        <f t="array" ref="F14">IF(COUNT(_xlfn._xlws.FILTER(Actual_Revenue, (Prediction_date=$A14)*(Period&gt;$A14)*(Period&lt;$B14)))&gt;=3, SUM(_xlfn._xlws.FILTER(Actual_Revenue, (Prediction_date=$A14)*(Period&gt;$A14)*(Period&lt;$B14))), NA())</f>
        <v>3425779.1999999997</v>
      </c>
      <c r="G14" s="4" cm="1">
        <f t="array" ref="G14">IF(COUNT(_xlfn._xlws.FILTER(Predicted_Revenue, (Prediction_date=$A14)*(Period&gt;$A14)*(Period&lt;$C14)))&gt;=6, SUM(_xlfn._xlws.FILTER(Predicted_Revenue, (Prediction_date=$A14)*(Period&gt;$A14)*(Period&lt;$C14))), NA())</f>
        <v>14823665.425679971</v>
      </c>
      <c r="H14" s="4" cm="1">
        <f t="array" ref="H14">IF(COUNT(_xlfn._xlws.FILTER(Actual_Revenue, (Prediction_date=$A14)*(Period&gt;$A14)*(Period&lt;$C14)))&gt;=6,SUM(_xlfn._xlws.FILTER(Actual_Revenue, (Prediction_date=$A14)*(Period&gt;$A14)*(Period&lt;$C14))), NA())</f>
        <v>6799754.6299999999</v>
      </c>
      <c r="I14" s="4" cm="1">
        <f t="array" ref="I14">IF(COUNT(_xlfn._xlws.FILTER(Predicted_Revenue, (Prediction_date=$A14)*(Period&gt;$A14)*(Period&lt;$D14)))&gt;=12,SUM(_xlfn._xlws.FILTER(Predicted_Revenue, (Prediction_date=$A14)*(Period&gt;$A14)*(Period&lt;$D14))), NA())</f>
        <v>21222919.510429434</v>
      </c>
      <c r="J14" s="4" cm="1">
        <f t="array" ref="J14">IF(COUNT(_xlfn._xlws.FILTER(Actual_Revenue, (Prediction_date=$A14)*(Period&gt;$A14)*(Period&lt;$D14)))&gt;=12, SUM(_xlfn._xlws.FILTER(Actual_Revenue, (Prediction_date=$A14)*(Period&gt;$A14)*(Period&lt;$D14))), NA())</f>
        <v>10982834.809999999</v>
      </c>
    </row>
    <row r="15" spans="1:10" x14ac:dyDescent="0.45">
      <c r="A15" s="1">
        <v>44742</v>
      </c>
      <c r="B15" s="1">
        <f t="shared" si="0"/>
        <v>44834</v>
      </c>
      <c r="C15" s="1">
        <f t="shared" si="1"/>
        <v>44925</v>
      </c>
      <c r="D15" s="1">
        <f t="shared" si="2"/>
        <v>45107</v>
      </c>
      <c r="E15" s="4" cm="1">
        <f t="array" ref="E15">IF(COUNT(_xlfn._xlws.FILTER(Predicted_Revenue,(Prediction_date=$A15)*(Period&gt;$A15)*(Period&lt;$B15)))&gt;=3, SUM(_xlfn._xlws.FILTER(Predicted_Revenue,(Prediction_date=$A15)*(Period&gt;$A15)*(Period&lt;$B15))), NA())</f>
        <v>6420335.0215987097</v>
      </c>
      <c r="F15" s="4" cm="1">
        <f t="array" ref="F15">IF(COUNT(_xlfn._xlws.FILTER(Actual_Revenue, (Prediction_date=$A15)*(Period&gt;$A15)*(Period&lt;$B15)))&gt;=3, SUM(_xlfn._xlws.FILTER(Actual_Revenue, (Prediction_date=$A15)*(Period&gt;$A15)*(Period&lt;$B15))), NA())</f>
        <v>3006236.9999999991</v>
      </c>
      <c r="G15" s="4" cm="1">
        <f t="array" ref="G15">IF(COUNT(_xlfn._xlws.FILTER(Predicted_Revenue, (Prediction_date=$A15)*(Period&gt;$A15)*(Period&lt;$C15)))&gt;=6, SUM(_xlfn._xlws.FILTER(Predicted_Revenue, (Prediction_date=$A15)*(Period&gt;$A15)*(Period&lt;$C15))), NA())</f>
        <v>11513359.817282187</v>
      </c>
      <c r="H15" s="4" cm="1">
        <f t="array" ref="H15">IF(COUNT(_xlfn._xlws.FILTER(Actual_Revenue, (Prediction_date=$A15)*(Period&gt;$A15)*(Period&lt;$C15)))&gt;=6,SUM(_xlfn._xlws.FILTER(Actual_Revenue, (Prediction_date=$A15)*(Period&gt;$A15)*(Period&lt;$C15))), NA())</f>
        <v>5873105.299999998</v>
      </c>
      <c r="I15" s="4" cm="1">
        <f t="array" ref="I15">IF(COUNT(_xlfn._xlws.FILTER(Predicted_Revenue, (Prediction_date=$A15)*(Period&gt;$A15)*(Period&lt;$D15)))&gt;=12,SUM(_xlfn._xlws.FILTER(Predicted_Revenue, (Prediction_date=$A15)*(Period&gt;$A15)*(Period&lt;$D15))), NA())</f>
        <v>18833972.511686593</v>
      </c>
      <c r="J15" s="4" cm="1">
        <f t="array" ref="J15">IF(COUNT(_xlfn._xlws.FILTER(Actual_Revenue, (Prediction_date=$A15)*(Period&gt;$A15)*(Period&lt;$D15)))&gt;=12, SUM(_xlfn._xlws.FILTER(Actual_Revenue, (Prediction_date=$A15)*(Period&gt;$A15)*(Period&lt;$D15))), NA())</f>
        <v>10574008.499999996</v>
      </c>
    </row>
    <row r="16" spans="1:10" x14ac:dyDescent="0.45">
      <c r="A16" s="1">
        <v>44773</v>
      </c>
      <c r="B16" s="1">
        <f t="shared" si="0"/>
        <v>44865</v>
      </c>
      <c r="C16" s="1">
        <f t="shared" si="1"/>
        <v>44957</v>
      </c>
      <c r="D16" s="1">
        <f t="shared" si="2"/>
        <v>45138</v>
      </c>
      <c r="E16" s="4" cm="1">
        <f t="array" ref="E16">IF(COUNT(_xlfn._xlws.FILTER(Predicted_Revenue,(Prediction_date=$A16)*(Period&gt;$A16)*(Period&lt;$B16)))&gt;=3, SUM(_xlfn._xlws.FILTER(Predicted_Revenue,(Prediction_date=$A16)*(Period&gt;$A16)*(Period&lt;$B16))), NA())</f>
        <v>3429246.735848526</v>
      </c>
      <c r="F16" s="4" cm="1">
        <f t="array" ref="F16">IF(COUNT(_xlfn._xlws.FILTER(Actual_Revenue, (Prediction_date=$A16)*(Period&gt;$A16)*(Period&lt;$B16)))&gt;=3, SUM(_xlfn._xlws.FILTER(Actual_Revenue, (Prediction_date=$A16)*(Period&gt;$A16)*(Period&lt;$B16))), NA())</f>
        <v>3051239.939999999</v>
      </c>
      <c r="G16" s="4" cm="1">
        <f t="array" ref="G16">IF(COUNT(_xlfn._xlws.FILTER(Predicted_Revenue, (Prediction_date=$A16)*(Period&gt;$A16)*(Period&lt;$C16)))&gt;=6, SUM(_xlfn._xlws.FILTER(Predicted_Revenue, (Prediction_date=$A16)*(Period&gt;$A16)*(Period&lt;$C16))), NA())</f>
        <v>7482066.6147712022</v>
      </c>
      <c r="H16" s="4" cm="1">
        <f t="array" ref="H16">IF(COUNT(_xlfn._xlws.FILTER(Actual_Revenue, (Prediction_date=$A16)*(Period&gt;$A16)*(Period&lt;$C16)))&gt;=6,SUM(_xlfn._xlws.FILTER(Actual_Revenue, (Prediction_date=$A16)*(Period&gt;$A16)*(Period&lt;$C16))), NA())</f>
        <v>6032336.4799999986</v>
      </c>
      <c r="I16" s="4" cm="1">
        <f t="array" ref="I16">IF(COUNT(_xlfn._xlws.FILTER(Predicted_Revenue, (Prediction_date=$A16)*(Period&gt;$A16)*(Period&lt;$D16)))&gt;=12,SUM(_xlfn._xlws.FILTER(Predicted_Revenue, (Prediction_date=$A16)*(Period&gt;$A16)*(Period&lt;$D16))), NA())</f>
        <v>13150807.694035564</v>
      </c>
      <c r="J16" s="4" cm="1">
        <f t="array" ref="J16">IF(COUNT(_xlfn._xlws.FILTER(Actual_Revenue, (Prediction_date=$A16)*(Period&gt;$A16)*(Period&lt;$D16)))&gt;=12, SUM(_xlfn._xlws.FILTER(Actual_Revenue, (Prediction_date=$A16)*(Period&gt;$A16)*(Period&lt;$D16))), NA())</f>
        <v>10692339.399999997</v>
      </c>
    </row>
    <row r="17" spans="1:10" x14ac:dyDescent="0.45">
      <c r="A17" s="1">
        <v>44804</v>
      </c>
      <c r="B17" s="1">
        <f t="shared" si="0"/>
        <v>44896</v>
      </c>
      <c r="C17" s="1">
        <f t="shared" si="1"/>
        <v>44988</v>
      </c>
      <c r="D17" s="1">
        <f t="shared" si="2"/>
        <v>45169</v>
      </c>
      <c r="E17" s="4" cm="1">
        <f t="array" ref="E17">IF(COUNT(_xlfn._xlws.FILTER(Predicted_Revenue,(Prediction_date=$A17)*(Period&gt;$A17)*(Period&lt;$B17)))&gt;=3, SUM(_xlfn._xlws.FILTER(Predicted_Revenue,(Prediction_date=$A17)*(Period&gt;$A17)*(Period&lt;$B17))), NA())</f>
        <v>5463086.3144169794</v>
      </c>
      <c r="F17" s="4" cm="1">
        <f t="array" ref="F17">IF(COUNT(_xlfn._xlws.FILTER(Actual_Revenue, (Prediction_date=$A17)*(Period&gt;$A17)*(Period&lt;$B17)))&gt;=3, SUM(_xlfn._xlws.FILTER(Actual_Revenue, (Prediction_date=$A17)*(Period&gt;$A17)*(Period&lt;$B17))), NA())</f>
        <v>3627368.4699999997</v>
      </c>
      <c r="G17" s="4" cm="1">
        <f t="array" ref="G17">IF(COUNT(_xlfn._xlws.FILTER(Predicted_Revenue, (Prediction_date=$A17)*(Period&gt;$A17)*(Period&lt;$C17)))&gt;=6, SUM(_xlfn._xlws.FILTER(Predicted_Revenue, (Prediction_date=$A17)*(Period&gt;$A17)*(Period&lt;$C17))), NA())</f>
        <v>10227716.120709464</v>
      </c>
      <c r="H17" s="4" cm="1">
        <f t="array" ref="H17">IF(COUNT(_xlfn._xlws.FILTER(Actual_Revenue, (Prediction_date=$A17)*(Period&gt;$A17)*(Period&lt;$C17)))&gt;=6,SUM(_xlfn._xlws.FILTER(Actual_Revenue, (Prediction_date=$A17)*(Period&gt;$A17)*(Period&lt;$C17))), NA())</f>
        <v>6254028.3899999997</v>
      </c>
      <c r="I17" s="4" cm="1">
        <f t="array" ref="I17">IF(COUNT(_xlfn._xlws.FILTER(Predicted_Revenue, (Prediction_date=$A17)*(Period&gt;$A17)*(Period&lt;$D17)))&gt;=12,SUM(_xlfn._xlws.FILTER(Predicted_Revenue, (Prediction_date=$A17)*(Period&gt;$A17)*(Period&lt;$D17))), NA())</f>
        <v>14211610.471619746</v>
      </c>
      <c r="J17" s="4" cm="1">
        <f t="array" ref="J17">IF(COUNT(_xlfn._xlws.FILTER(Actual_Revenue, (Prediction_date=$A17)*(Period&gt;$A17)*(Period&lt;$D17)))&gt;=12, SUM(_xlfn._xlws.FILTER(Actual_Revenue, (Prediction_date=$A17)*(Period&gt;$A17)*(Period&lt;$D17))), NA())</f>
        <v>10476509.960000001</v>
      </c>
    </row>
    <row r="18" spans="1:10" x14ac:dyDescent="0.45">
      <c r="A18" s="1">
        <v>44834</v>
      </c>
      <c r="B18" s="1">
        <f t="shared" si="0"/>
        <v>44925</v>
      </c>
      <c r="C18" s="1">
        <f t="shared" si="1"/>
        <v>45015</v>
      </c>
      <c r="D18" s="1">
        <f t="shared" si="2"/>
        <v>45199</v>
      </c>
      <c r="E18" s="4" cm="1">
        <f t="array" ref="E18">IF(COUNT(_xlfn._xlws.FILTER(Predicted_Revenue,(Prediction_date=$A18)*(Period&gt;$A18)*(Period&lt;$B18)))&gt;=3, SUM(_xlfn._xlws.FILTER(Predicted_Revenue,(Prediction_date=$A18)*(Period&gt;$A18)*(Period&lt;$B18))), NA())</f>
        <v>3935737.2382694045</v>
      </c>
      <c r="F18" s="4" cm="1">
        <f t="array" ref="F18">IF(COUNT(_xlfn._xlws.FILTER(Actual_Revenue, (Prediction_date=$A18)*(Period&gt;$A18)*(Period&lt;$B18)))&gt;=3, SUM(_xlfn._xlws.FILTER(Actual_Revenue, (Prediction_date=$A18)*(Period&gt;$A18)*(Period&lt;$B18))), NA())</f>
        <v>3113779.46</v>
      </c>
      <c r="G18" s="4" cm="1">
        <f t="array" ref="G18">IF(COUNT(_xlfn._xlws.FILTER(Predicted_Revenue, (Prediction_date=$A18)*(Period&gt;$A18)*(Period&lt;$C18)))&gt;=6, SUM(_xlfn._xlws.FILTER(Predicted_Revenue, (Prediction_date=$A18)*(Period&gt;$A18)*(Period&lt;$C18))), NA())</f>
        <v>7851282.0506489202</v>
      </c>
      <c r="H18" s="4" cm="1">
        <f t="array" ref="H18">IF(COUNT(_xlfn._xlws.FILTER(Actual_Revenue, (Prediction_date=$A18)*(Period&gt;$A18)*(Period&lt;$C18)))&gt;=6,SUM(_xlfn._xlws.FILTER(Actual_Revenue, (Prediction_date=$A18)*(Period&gt;$A18)*(Period&lt;$C18))), NA())</f>
        <v>5504506.8299999982</v>
      </c>
      <c r="I18" s="4" cm="1">
        <f t="array" ref="I18">IF(COUNT(_xlfn._xlws.FILTER(Predicted_Revenue, (Prediction_date=$A18)*(Period&gt;$A18)*(Period&lt;$D18)))&gt;=12,SUM(_xlfn._xlws.FILTER(Predicted_Revenue, (Prediction_date=$A18)*(Period&gt;$A18)*(Period&lt;$D18))), NA())</f>
        <v>12504673.853740139</v>
      </c>
      <c r="J18" s="4" cm="1">
        <f t="array" ref="J18">IF(COUNT(_xlfn._xlws.FILTER(Actual_Revenue, (Prediction_date=$A18)*(Period&gt;$A18)*(Period&lt;$D18)))&gt;=12, SUM(_xlfn._xlws.FILTER(Actual_Revenue, (Prediction_date=$A18)*(Period&gt;$A18)*(Period&lt;$D18))), NA())</f>
        <v>10764033.329999998</v>
      </c>
    </row>
    <row r="19" spans="1:10" x14ac:dyDescent="0.45">
      <c r="A19" s="1">
        <v>44865</v>
      </c>
      <c r="B19" s="1">
        <f t="shared" si="0"/>
        <v>44957</v>
      </c>
      <c r="C19" s="1">
        <f t="shared" si="1"/>
        <v>45047</v>
      </c>
      <c r="D19" s="1">
        <f t="shared" si="2"/>
        <v>45230</v>
      </c>
      <c r="E19" s="4" cm="1">
        <f t="array" ref="E19">IF(COUNT(_xlfn._xlws.FILTER(Predicted_Revenue,(Prediction_date=$A19)*(Period&gt;$A19)*(Period&lt;$B19)))&gt;=3, SUM(_xlfn._xlws.FILTER(Predicted_Revenue,(Prediction_date=$A19)*(Period&gt;$A19)*(Period&lt;$B19))), NA())</f>
        <v>4137472.9324222729</v>
      </c>
      <c r="F19" s="4" cm="1">
        <f t="array" ref="F19">IF(COUNT(_xlfn._xlws.FILTER(Actual_Revenue, (Prediction_date=$A19)*(Period&gt;$A19)*(Period&lt;$B19)))&gt;=3, SUM(_xlfn._xlws.FILTER(Actual_Revenue, (Prediction_date=$A19)*(Period&gt;$A19)*(Period&lt;$B19))), NA())</f>
        <v>3246129.16</v>
      </c>
      <c r="G19" s="4" cm="1">
        <f t="array" ref="G19">IF(COUNT(_xlfn._xlws.FILTER(Predicted_Revenue, (Prediction_date=$A19)*(Period&gt;$A19)*(Period&lt;$C19)))&gt;=6, SUM(_xlfn._xlws.FILTER(Predicted_Revenue, (Prediction_date=$A19)*(Period&gt;$A19)*(Period&lt;$C19))), NA())</f>
        <v>7436391.405783697</v>
      </c>
      <c r="H19" s="4" cm="1">
        <f t="array" ref="H19">IF(COUNT(_xlfn._xlws.FILTER(Actual_Revenue, (Prediction_date=$A19)*(Period&gt;$A19)*(Period&lt;$C19)))&gt;=6,SUM(_xlfn._xlws.FILTER(Actual_Revenue, (Prediction_date=$A19)*(Period&gt;$A19)*(Period&lt;$C19))), NA())</f>
        <v>5643419.9199999999</v>
      </c>
      <c r="I19" s="4" cm="1">
        <f t="array" ref="I19">IF(COUNT(_xlfn._xlws.FILTER(Predicted_Revenue, (Prediction_date=$A19)*(Period&gt;$A19)*(Period&lt;$D19)))&gt;=12,SUM(_xlfn._xlws.FILTER(Predicted_Revenue, (Prediction_date=$A19)*(Period&gt;$A19)*(Period&lt;$D19))), NA())</f>
        <v>12529706.670801045</v>
      </c>
      <c r="J19" s="4" cm="1">
        <f t="array" ref="J19">IF(COUNT(_xlfn._xlws.FILTER(Actual_Revenue, (Prediction_date=$A19)*(Period&gt;$A19)*(Period&lt;$D19)))&gt;=12, SUM(_xlfn._xlws.FILTER(Actual_Revenue, (Prediction_date=$A19)*(Period&gt;$A19)*(Period&lt;$D19))), NA())</f>
        <v>10920240.02</v>
      </c>
    </row>
    <row r="20" spans="1:10" x14ac:dyDescent="0.45">
      <c r="A20" s="1">
        <v>44895</v>
      </c>
      <c r="B20" s="1">
        <f t="shared" si="0"/>
        <v>44987</v>
      </c>
      <c r="C20" s="1">
        <f t="shared" si="1"/>
        <v>45076</v>
      </c>
      <c r="D20" s="1">
        <f t="shared" si="2"/>
        <v>45260</v>
      </c>
      <c r="E20" s="4" cm="1">
        <f t="array" ref="E20">IF(COUNT(_xlfn._xlws.FILTER(Predicted_Revenue,(Prediction_date=$A20)*(Period&gt;$A20)*(Period&lt;$B20)))&gt;=3, SUM(_xlfn._xlws.FILTER(Predicted_Revenue,(Prediction_date=$A20)*(Period&gt;$A20)*(Period&lt;$B20))), NA())</f>
        <v>4491028.9866318526</v>
      </c>
      <c r="F20" s="4" cm="1">
        <f t="array" ref="F20">IF(COUNT(_xlfn._xlws.FILTER(Actual_Revenue, (Prediction_date=$A20)*(Period&gt;$A20)*(Period&lt;$B20)))&gt;=3, SUM(_xlfn._xlws.FILTER(Actual_Revenue, (Prediction_date=$A20)*(Period&gt;$A20)*(Period&lt;$B20))), NA())</f>
        <v>2843284.6199999996</v>
      </c>
      <c r="G20" s="4" cm="1">
        <f t="array" ref="G20">IF(COUNT(_xlfn._xlws.FILTER(Predicted_Revenue, (Prediction_date=$A20)*(Period&gt;$A20)*(Period&lt;$C20)))&gt;=6, SUM(_xlfn._xlws.FILTER(Predicted_Revenue, (Prediction_date=$A20)*(Period&gt;$A20)*(Period&lt;$C20))), NA())</f>
        <v>5465036.8576487014</v>
      </c>
      <c r="H20" s="4" cm="1">
        <f t="array" ref="H20">IF(COUNT(_xlfn._xlws.FILTER(Actual_Revenue, (Prediction_date=$A20)*(Period&gt;$A20)*(Period&lt;$C20)))&gt;=6,SUM(_xlfn._xlws.FILTER(Actual_Revenue, (Prediction_date=$A20)*(Period&gt;$A20)*(Period&lt;$C20))), NA())</f>
        <v>4768384.97</v>
      </c>
      <c r="I20" s="4" cm="1">
        <f t="array" ref="I20">IF(COUNT(_xlfn._xlws.FILTER(Predicted_Revenue, (Prediction_date=$A20)*(Period&gt;$A20)*(Period&lt;$D20)))&gt;=12,SUM(_xlfn._xlws.FILTER(Predicted_Revenue, (Prediction_date=$A20)*(Period&gt;$A20)*(Period&lt;$D20))), NA())</f>
        <v>11597466.336088788</v>
      </c>
      <c r="J20" s="4" cm="1">
        <f t="array" ref="J20">IF(COUNT(_xlfn._xlws.FILTER(Actual_Revenue, (Prediction_date=$A20)*(Period&gt;$A20)*(Period&lt;$D20)))&gt;=12, SUM(_xlfn._xlws.FILTER(Actual_Revenue, (Prediction_date=$A20)*(Period&gt;$A20)*(Period&lt;$D20))), NA())</f>
        <v>10595213.26999999</v>
      </c>
    </row>
    <row r="21" spans="1:10" x14ac:dyDescent="0.45">
      <c r="A21" s="1">
        <v>44926</v>
      </c>
      <c r="B21" s="1">
        <f t="shared" si="0"/>
        <v>45016</v>
      </c>
      <c r="C21" s="1">
        <f t="shared" si="1"/>
        <v>45108</v>
      </c>
      <c r="D21" s="1">
        <f t="shared" si="2"/>
        <v>45291</v>
      </c>
      <c r="E21" s="4" cm="1">
        <f t="array" ref="E21">IF(COUNT(_xlfn._xlws.FILTER(Predicted_Revenue,(Prediction_date=$A21)*(Period&gt;$A21)*(Period&lt;$B21)))&gt;=3, SUM(_xlfn._xlws.FILTER(Predicted_Revenue,(Prediction_date=$A21)*(Period&gt;$A21)*(Period&lt;$B21))), NA())</f>
        <v>4009767.2049198728</v>
      </c>
      <c r="F21" s="4" cm="1">
        <f t="array" ref="F21">IF(COUNT(_xlfn._xlws.FILTER(Actual_Revenue, (Prediction_date=$A21)*(Period&gt;$A21)*(Period&lt;$B21)))&gt;=3, SUM(_xlfn._xlws.FILTER(Actual_Revenue, (Prediction_date=$A21)*(Period&gt;$A21)*(Period&lt;$B21))), NA())</f>
        <v>2639251.61</v>
      </c>
      <c r="G21" s="4" cm="1">
        <f t="array" ref="G21">IF(COUNT(_xlfn._xlws.FILTER(Predicted_Revenue, (Prediction_date=$A21)*(Period&gt;$A21)*(Period&lt;$C21)))&gt;=6, SUM(_xlfn._xlws.FILTER(Predicted_Revenue, (Prediction_date=$A21)*(Period&gt;$A21)*(Period&lt;$C21))), NA())</f>
        <v>5969302.4231244205</v>
      </c>
      <c r="H21" s="4" cm="1">
        <f t="array" ref="H21">IF(COUNT(_xlfn._xlws.FILTER(Actual_Revenue, (Prediction_date=$A21)*(Period&gt;$A21)*(Period&lt;$C21)))&gt;=6,SUM(_xlfn._xlws.FILTER(Actual_Revenue, (Prediction_date=$A21)*(Period&gt;$A21)*(Period&lt;$C21))), NA())</f>
        <v>5532296.1999999993</v>
      </c>
      <c r="I21" s="4" cm="1">
        <f t="array" ref="I21">IF(COUNT(_xlfn._xlws.FILTER(Predicted_Revenue, (Prediction_date=$A21)*(Period&gt;$A21)*(Period&lt;$D21)))&gt;=12,SUM(_xlfn._xlws.FILTER(Predicted_Revenue, (Prediction_date=$A21)*(Period&gt;$A21)*(Period&lt;$D21))), NA())</f>
        <v>11343401.283170091</v>
      </c>
      <c r="J21" s="4" cm="1">
        <f t="array" ref="J21">IF(COUNT(_xlfn._xlws.FILTER(Actual_Revenue, (Prediction_date=$A21)*(Period&gt;$A21)*(Period&lt;$D21)))&gt;=12, SUM(_xlfn._xlws.FILTER(Actual_Revenue, (Prediction_date=$A21)*(Period&gt;$A21)*(Period&lt;$D21))), NA())</f>
        <v>11391475.539999988</v>
      </c>
    </row>
    <row r="22" spans="1:10" x14ac:dyDescent="0.45">
      <c r="A22" s="1">
        <v>44957</v>
      </c>
      <c r="B22" s="1">
        <f t="shared" si="0"/>
        <v>45047</v>
      </c>
      <c r="C22" s="1">
        <f t="shared" si="1"/>
        <v>45138</v>
      </c>
      <c r="D22" s="1">
        <f t="shared" si="2"/>
        <v>45322</v>
      </c>
      <c r="E22" s="4" cm="1">
        <f t="array" ref="E22">IF(COUNT(_xlfn._xlws.FILTER(Predicted_Revenue,(Prediction_date=$A22)*(Period&gt;$A22)*(Period&lt;$B22)))&gt;=3, SUM(_xlfn._xlws.FILTER(Predicted_Revenue,(Prediction_date=$A22)*(Period&gt;$A22)*(Period&lt;$B22))), NA())</f>
        <v>3349766.529610496</v>
      </c>
      <c r="F22" s="4" cm="1">
        <f t="array" ref="F22">IF(COUNT(_xlfn._xlws.FILTER(Actual_Revenue, (Prediction_date=$A22)*(Period&gt;$A22)*(Period&lt;$B22)))&gt;=3, SUM(_xlfn._xlws.FILTER(Actual_Revenue, (Prediction_date=$A22)*(Period&gt;$A22)*(Period&lt;$B22))), NA())</f>
        <v>2559958.2199999997</v>
      </c>
      <c r="G22" s="4" cm="1">
        <f t="array" ref="G22">IF(COUNT(_xlfn._xlws.FILTER(Predicted_Revenue, (Prediction_date=$A22)*(Period&gt;$A22)*(Period&lt;$C22)))&gt;=6, SUM(_xlfn._xlws.FILTER(Predicted_Revenue, (Prediction_date=$A22)*(Period&gt;$A22)*(Period&lt;$C22))), NA())</f>
        <v>6000796.8668605788</v>
      </c>
      <c r="H22" s="4" cm="1">
        <f t="array" ref="H22">IF(COUNT(_xlfn._xlws.FILTER(Actual_Revenue, (Prediction_date=$A22)*(Period&gt;$A22)*(Period&lt;$C22)))&gt;=6,SUM(_xlfn._xlws.FILTER(Actual_Revenue, (Prediction_date=$A22)*(Period&gt;$A22)*(Period&lt;$C22))), NA())</f>
        <v>5375185.3899999987</v>
      </c>
      <c r="I22" s="4" cm="1">
        <f t="array" ref="I22">IF(COUNT(_xlfn._xlws.FILTER(Predicted_Revenue, (Prediction_date=$A22)*(Period&gt;$A22)*(Period&lt;$D22)))&gt;=12,SUM(_xlfn._xlws.FILTER(Predicted_Revenue, (Prediction_date=$A22)*(Period&gt;$A22)*(Period&lt;$D22))), NA())</f>
        <v>11367155.520640625</v>
      </c>
      <c r="J22" s="4" cm="1">
        <f t="array" ref="J22">IF(COUNT(_xlfn._xlws.FILTER(Actual_Revenue, (Prediction_date=$A22)*(Period&gt;$A22)*(Period&lt;$D22)))&gt;=12, SUM(_xlfn._xlws.FILTER(Actual_Revenue, (Prediction_date=$A22)*(Period&gt;$A22)*(Period&lt;$D22))), NA())</f>
        <v>11389172.959999997</v>
      </c>
    </row>
    <row r="23" spans="1:10" x14ac:dyDescent="0.45">
      <c r="A23" s="1">
        <v>44985</v>
      </c>
      <c r="B23" s="1">
        <f t="shared" si="0"/>
        <v>45074</v>
      </c>
      <c r="C23" s="1">
        <f t="shared" si="1"/>
        <v>45166</v>
      </c>
      <c r="D23" s="1">
        <f t="shared" si="2"/>
        <v>45350</v>
      </c>
      <c r="E23" s="4" cm="1">
        <f t="array" ref="E23">IF(COUNT(_xlfn._xlws.FILTER(Predicted_Revenue,(Prediction_date=$A23)*(Period&gt;$A23)*(Period&lt;$B23)))&gt;=3, SUM(_xlfn._xlws.FILTER(Predicted_Revenue,(Prediction_date=$A23)*(Period&gt;$A23)*(Period&lt;$B23))), NA())</f>
        <v>3245452.5192444837</v>
      </c>
      <c r="F23" s="4" cm="1">
        <f t="array" ref="F23">IF(COUNT(_xlfn._xlws.FILTER(Actual_Revenue, (Prediction_date=$A23)*(Period&gt;$A23)*(Period&lt;$B23)))&gt;=3, SUM(_xlfn._xlws.FILTER(Actual_Revenue, (Prediction_date=$A23)*(Period&gt;$A23)*(Period&lt;$B23))), NA())</f>
        <v>2717763.04</v>
      </c>
      <c r="G23" s="4" cm="1">
        <f t="array" ref="G23">IF(COUNT(_xlfn._xlws.FILTER(Predicted_Revenue, (Prediction_date=$A23)*(Period&gt;$A23)*(Period&lt;$C23)))&gt;=6, SUM(_xlfn._xlws.FILTER(Predicted_Revenue, (Prediction_date=$A23)*(Period&gt;$A23)*(Period&lt;$C23))), NA())</f>
        <v>6600544.5910770241</v>
      </c>
      <c r="H23" s="4" cm="1">
        <f t="array" ref="H23">IF(COUNT(_xlfn._xlws.FILTER(Actual_Revenue, (Prediction_date=$A23)*(Period&gt;$A23)*(Period&lt;$C23)))&gt;=6,SUM(_xlfn._xlws.FILTER(Actual_Revenue, (Prediction_date=$A23)*(Period&gt;$A23)*(Period&lt;$C23))), NA())</f>
        <v>5510305.1500000004</v>
      </c>
      <c r="I23" s="4" cm="1">
        <f t="array" ref="I23">IF(COUNT(_xlfn._xlws.FILTER(Predicted_Revenue, (Prediction_date=$A23)*(Period&gt;$A23)*(Period&lt;$D23)))&gt;=12,SUM(_xlfn._xlws.FILTER(Predicted_Revenue, (Prediction_date=$A23)*(Period&gt;$A23)*(Period&lt;$D23))), NA())</f>
        <v>12192018.066372527</v>
      </c>
      <c r="J23" s="4" cm="1">
        <f t="array" ref="J23">IF(COUNT(_xlfn._xlws.FILTER(Actual_Revenue, (Prediction_date=$A23)*(Period&gt;$A23)*(Period&lt;$D23)))&gt;=12, SUM(_xlfn._xlws.FILTER(Actual_Revenue, (Prediction_date=$A23)*(Period&gt;$A23)*(Period&lt;$D23))), NA())</f>
        <v>11439478.59</v>
      </c>
    </row>
    <row r="24" spans="1:10" x14ac:dyDescent="0.45">
      <c r="A24" s="1">
        <v>45016</v>
      </c>
      <c r="B24" s="1">
        <f t="shared" si="0"/>
        <v>45108</v>
      </c>
      <c r="C24" s="1">
        <f t="shared" si="1"/>
        <v>45200</v>
      </c>
      <c r="D24" s="1">
        <f t="shared" si="2"/>
        <v>45382</v>
      </c>
      <c r="E24" s="4" cm="1">
        <f t="array" ref="E24">IF(COUNT(_xlfn._xlws.FILTER(Predicted_Revenue,(Prediction_date=$A24)*(Period&gt;$A24)*(Period&lt;$B24)))&gt;=3, SUM(_xlfn._xlws.FILTER(Predicted_Revenue,(Prediction_date=$A24)*(Period&gt;$A24)*(Period&lt;$B24))), NA())</f>
        <v>1907867.9791231649</v>
      </c>
      <c r="F24" s="4" cm="1">
        <f t="array" ref="F24">IF(COUNT(_xlfn._xlws.FILTER(Actual_Revenue, (Prediction_date=$A24)*(Period&gt;$A24)*(Period&lt;$B24)))&gt;=3, SUM(_xlfn._xlws.FILTER(Actual_Revenue, (Prediction_date=$A24)*(Period&gt;$A24)*(Period&lt;$B24))), NA())</f>
        <v>3119215.37</v>
      </c>
      <c r="G24" s="4" cm="1">
        <f t="array" ref="G24">IF(COUNT(_xlfn._xlws.FILTER(Predicted_Revenue, (Prediction_date=$A24)*(Period&gt;$A24)*(Period&lt;$C24)))&gt;=6, SUM(_xlfn._xlws.FILTER(Predicted_Revenue, (Prediction_date=$A24)*(Period&gt;$A24)*(Period&lt;$C24))), NA())</f>
        <v>4541454.4923422094</v>
      </c>
      <c r="H24" s="4" cm="1">
        <f t="array" ref="H24">IF(COUNT(_xlfn._xlws.FILTER(Actual_Revenue, (Prediction_date=$A24)*(Period&gt;$A24)*(Period&lt;$C24)))&gt;=6,SUM(_xlfn._xlws.FILTER(Actual_Revenue, (Prediction_date=$A24)*(Period&gt;$A24)*(Period&lt;$C24))), NA())</f>
        <v>6127669.9100000001</v>
      </c>
      <c r="I24" s="4" cm="1">
        <f t="array" ref="I24">IF(COUNT(_xlfn._xlws.FILTER(Predicted_Revenue, (Prediction_date=$A24)*(Period&gt;$A24)*(Period&lt;$D24)))&gt;=12,SUM(_xlfn._xlws.FILTER(Predicted_Revenue, (Prediction_date=$A24)*(Period&gt;$A24)*(Period&lt;$D24))), NA())</f>
        <v>9270794.3170668036</v>
      </c>
      <c r="J24" s="4" cm="1">
        <f t="array" ref="J24">IF(COUNT(_xlfn._xlws.FILTER(Actual_Revenue, (Prediction_date=$A24)*(Period&gt;$A24)*(Period&lt;$D24)))&gt;=12, SUM(_xlfn._xlws.FILTER(Actual_Revenue, (Prediction_date=$A24)*(Period&gt;$A24)*(Period&lt;$D24))), NA())</f>
        <v>11850398.42</v>
      </c>
    </row>
    <row r="25" spans="1:10" x14ac:dyDescent="0.45">
      <c r="A25" s="1">
        <v>45046</v>
      </c>
      <c r="B25" s="1">
        <f t="shared" si="0"/>
        <v>45137</v>
      </c>
      <c r="C25" s="1">
        <f t="shared" si="1"/>
        <v>45229</v>
      </c>
      <c r="D25" s="1">
        <f t="shared" si="2"/>
        <v>45412</v>
      </c>
      <c r="E25" s="4" cm="1">
        <f t="array" ref="E25">IF(COUNT(_xlfn._xlws.FILTER(Predicted_Revenue,(Prediction_date=$A25)*(Period&gt;$A25)*(Period&lt;$B25)))&gt;=3, SUM(_xlfn._xlws.FILTER(Predicted_Revenue,(Prediction_date=$A25)*(Period&gt;$A25)*(Period&lt;$B25))), NA())</f>
        <v>2835969.870103267</v>
      </c>
      <c r="F25" s="4" cm="1">
        <f t="array" ref="F25">IF(COUNT(_xlfn._xlws.FILTER(Actual_Revenue, (Prediction_date=$A25)*(Period&gt;$A25)*(Period&lt;$B25)))&gt;=3, SUM(_xlfn._xlws.FILTER(Actual_Revenue, (Prediction_date=$A25)*(Period&gt;$A25)*(Period&lt;$B25))), NA())</f>
        <v>3115231.2199999904</v>
      </c>
      <c r="G25" s="4" cm="1">
        <f t="array" ref="G25">IF(COUNT(_xlfn._xlws.FILTER(Predicted_Revenue, (Prediction_date=$A25)*(Period&gt;$A25)*(Period&lt;$C25)))&gt;=6, SUM(_xlfn._xlws.FILTER(Predicted_Revenue, (Prediction_date=$A25)*(Period&gt;$A25)*(Period&lt;$C25))), NA())</f>
        <v>5638565.9896483496</v>
      </c>
      <c r="H25" s="4" cm="1">
        <f t="array" ref="H25">IF(COUNT(_xlfn._xlws.FILTER(Actual_Revenue, (Prediction_date=$A25)*(Period&gt;$A25)*(Period&lt;$C25)))&gt;=6,SUM(_xlfn._xlws.FILTER(Actual_Revenue, (Prediction_date=$A25)*(Period&gt;$A25)*(Period&lt;$C25))), NA())</f>
        <v>6198822.2299999902</v>
      </c>
      <c r="I25" s="4" cm="1">
        <f t="array" ref="I25">IF(COUNT(_xlfn._xlws.FILTER(Predicted_Revenue, (Prediction_date=$A25)*(Period&gt;$A25)*(Period&lt;$D25)))&gt;=12,SUM(_xlfn._xlws.FILTER(Predicted_Revenue, (Prediction_date=$A25)*(Period&gt;$A25)*(Period&lt;$D25))), NA())</f>
        <v>10923852.233451098</v>
      </c>
      <c r="J25" s="4" cm="1">
        <f t="array" ref="J25">IF(COUNT(_xlfn._xlws.FILTER(Actual_Revenue, (Prediction_date=$A25)*(Period&gt;$A25)*(Period&lt;$D25)))&gt;=12, SUM(_xlfn._xlws.FILTER(Actual_Revenue, (Prediction_date=$A25)*(Period&gt;$A25)*(Period&lt;$D25))), NA())</f>
        <v>12208160.529999988</v>
      </c>
    </row>
    <row r="26" spans="1:10" x14ac:dyDescent="0.45">
      <c r="A26" s="1">
        <v>45077</v>
      </c>
      <c r="B26" s="1">
        <f t="shared" si="0"/>
        <v>45169</v>
      </c>
      <c r="C26" s="1">
        <f t="shared" si="1"/>
        <v>45261</v>
      </c>
      <c r="D26" s="1">
        <f t="shared" si="2"/>
        <v>45443</v>
      </c>
      <c r="E26" s="4" cm="1">
        <f t="array" ref="E26">IF(COUNT(_xlfn._xlws.FILTER(Predicted_Revenue,(Prediction_date=$A26)*(Period&gt;$A26)*(Period&lt;$B26)))&gt;=3, SUM(_xlfn._xlws.FILTER(Predicted_Revenue,(Prediction_date=$A26)*(Period&gt;$A26)*(Period&lt;$B26))), NA())</f>
        <v>3535468.9153716802</v>
      </c>
      <c r="F26" s="4" cm="1">
        <f t="array" ref="F26">IF(COUNT(_xlfn._xlws.FILTER(Actual_Revenue, (Prediction_date=$A26)*(Period&gt;$A26)*(Period&lt;$B26)))&gt;=3, SUM(_xlfn._xlws.FILTER(Actual_Revenue, (Prediction_date=$A26)*(Period&gt;$A26)*(Period&lt;$B26))), NA())</f>
        <v>3051653.62</v>
      </c>
      <c r="G26" s="4" cm="1">
        <f t="array" ref="G26">IF(COUNT(_xlfn._xlws.FILTER(Predicted_Revenue, (Prediction_date=$A26)*(Period&gt;$A26)*(Period&lt;$C26)))&gt;=6, SUM(_xlfn._xlws.FILTER(Predicted_Revenue, (Prediction_date=$A26)*(Period&gt;$A26)*(Period&lt;$C26))), NA())</f>
        <v>7320037.1154881334</v>
      </c>
      <c r="H26" s="4" cm="1">
        <f t="array" ref="H26">IF(COUNT(_xlfn._xlws.FILTER(Actual_Revenue, (Prediction_date=$A26)*(Period&gt;$A26)*(Period&lt;$C26)))&gt;=6,SUM(_xlfn._xlws.FILTER(Actual_Revenue, (Prediction_date=$A26)*(Period&gt;$A26)*(Period&lt;$C26))), NA())</f>
        <v>6861571.4100000001</v>
      </c>
      <c r="I26" s="4" cm="1">
        <f t="array" ref="I26">IF(COUNT(_xlfn._xlws.FILTER(Predicted_Revenue, (Prediction_date=$A26)*(Period&gt;$A26)*(Period&lt;$D26)))&gt;=12,SUM(_xlfn._xlws.FILTER(Predicted_Revenue, (Prediction_date=$A26)*(Period&gt;$A26)*(Period&lt;$D26))), NA())</f>
        <v>11998128.775572399</v>
      </c>
      <c r="J26" s="4" cm="1">
        <f t="array" ref="J26">IF(COUNT(_xlfn._xlws.FILTER(Actual_Revenue, (Prediction_date=$A26)*(Period&gt;$A26)*(Period&lt;$D26)))&gt;=12, SUM(_xlfn._xlws.FILTER(Actual_Revenue, (Prediction_date=$A26)*(Period&gt;$A26)*(Period&lt;$D26))), NA())</f>
        <v>11973241.029999999</v>
      </c>
    </row>
    <row r="27" spans="1:10" x14ac:dyDescent="0.45">
      <c r="A27" s="1">
        <v>45107</v>
      </c>
      <c r="B27" s="1">
        <f t="shared" si="0"/>
        <v>45199</v>
      </c>
      <c r="C27" s="1">
        <f t="shared" si="1"/>
        <v>45290</v>
      </c>
      <c r="D27" s="1">
        <f t="shared" si="2"/>
        <v>45473</v>
      </c>
      <c r="E27" s="4" cm="1">
        <f t="array" ref="E27">IF(COUNT(_xlfn._xlws.FILTER(Predicted_Revenue,(Prediction_date=$A27)*(Period&gt;$A27)*(Period&lt;$B27)))&gt;=3, SUM(_xlfn._xlws.FILTER(Predicted_Revenue,(Prediction_date=$A27)*(Period&gt;$A27)*(Period&lt;$B27))), NA())</f>
        <v>3368186.0699449005</v>
      </c>
      <c r="F27" s="4" cm="1">
        <f t="array" ref="F27">IF(COUNT(_xlfn._xlws.FILTER(Actual_Revenue, (Prediction_date=$A27)*(Period&gt;$A27)*(Period&lt;$B27)))&gt;=3, SUM(_xlfn._xlws.FILTER(Actual_Revenue, (Prediction_date=$A27)*(Period&gt;$A27)*(Period&lt;$B27))), NA())</f>
        <v>3280430.37</v>
      </c>
      <c r="G27" s="4" cm="1">
        <f t="array" ref="G27">IF(COUNT(_xlfn._xlws.FILTER(Predicted_Revenue, (Prediction_date=$A27)*(Period&gt;$A27)*(Period&lt;$C27)))&gt;=6, SUM(_xlfn._xlws.FILTER(Predicted_Revenue, (Prediction_date=$A27)*(Period&gt;$A27)*(Period&lt;$C27))), NA())</f>
        <v>6627967.9586184481</v>
      </c>
      <c r="H27" s="4" cm="1">
        <f t="array" ref="H27">IF(COUNT(_xlfn._xlws.FILTER(Actual_Revenue, (Prediction_date=$A27)*(Period&gt;$A27)*(Period&lt;$C27)))&gt;=6,SUM(_xlfn._xlws.FILTER(Actual_Revenue, (Prediction_date=$A27)*(Period&gt;$A27)*(Period&lt;$C27))), NA())</f>
        <v>6779515.5299999993</v>
      </c>
      <c r="I27" s="4" cm="1">
        <f t="array" ref="I27">IF(COUNT(_xlfn._xlws.FILTER(Predicted_Revenue, (Prediction_date=$A27)*(Period&gt;$A27)*(Period&lt;$D27)))&gt;=12,SUM(_xlfn._xlws.FILTER(Predicted_Revenue, (Prediction_date=$A27)*(Period&gt;$A27)*(Period&lt;$D27))), NA())</f>
        <v>11717000.659096299</v>
      </c>
      <c r="J27" s="4" cm="1">
        <f t="array" ref="J27">IF(COUNT(_xlfn._xlws.FILTER(Actual_Revenue, (Prediction_date=$A27)*(Period&gt;$A27)*(Period&lt;$D27)))&gt;=12, SUM(_xlfn._xlws.FILTER(Actual_Revenue, (Prediction_date=$A27)*(Period&gt;$A27)*(Period&lt;$D27))), NA())</f>
        <v>11940676.530000001</v>
      </c>
    </row>
    <row r="28" spans="1:10" x14ac:dyDescent="0.45">
      <c r="A28" s="1">
        <v>45138</v>
      </c>
      <c r="B28" s="1">
        <f t="shared" si="0"/>
        <v>45230</v>
      </c>
      <c r="C28" s="1">
        <f t="shared" si="1"/>
        <v>45322</v>
      </c>
      <c r="D28" s="1">
        <f t="shared" si="2"/>
        <v>45504</v>
      </c>
      <c r="E28" s="4" cm="1">
        <f t="array" ref="E28">IF(COUNT(_xlfn._xlws.FILTER(Predicted_Revenue,(Prediction_date=$A28)*(Period&gt;$A28)*(Period&lt;$B28)))&gt;=3, SUM(_xlfn._xlws.FILTER(Predicted_Revenue,(Prediction_date=$A28)*(Period&gt;$A28)*(Period&lt;$B28))), NA())</f>
        <v>3023873.7807050701</v>
      </c>
      <c r="F28" s="4" cm="1">
        <f t="array" ref="F28">IF(COUNT(_xlfn._xlws.FILTER(Actual_Revenue, (Prediction_date=$A28)*(Period&gt;$A28)*(Period&lt;$B28)))&gt;=3, SUM(_xlfn._xlws.FILTER(Actual_Revenue, (Prediction_date=$A28)*(Period&gt;$A28)*(Period&lt;$B28))), NA())</f>
        <v>3357077.5300000003</v>
      </c>
      <c r="G28" s="4" cm="1">
        <f t="array" ref="G28">IF(COUNT(_xlfn._xlws.FILTER(Predicted_Revenue, (Prediction_date=$A28)*(Period&gt;$A28)*(Period&lt;$C28)))&gt;=6, SUM(_xlfn._xlws.FILTER(Predicted_Revenue, (Prediction_date=$A28)*(Period&gt;$A28)*(Period&lt;$C28))), NA())</f>
        <v>6352256.191897193</v>
      </c>
      <c r="H28" s="4" cm="1">
        <f t="array" ref="H28">IF(COUNT(_xlfn._xlws.FILTER(Actual_Revenue, (Prediction_date=$A28)*(Period&gt;$A28)*(Period&lt;$C28)))&gt;=6,SUM(_xlfn._xlws.FILTER(Actual_Revenue, (Prediction_date=$A28)*(Period&gt;$A28)*(Period&lt;$C28))), NA())</f>
        <v>7032223.2899999991</v>
      </c>
      <c r="I28" s="4" cm="1">
        <f t="array" ref="I28">IF(COUNT(_xlfn._xlws.FILTER(Predicted_Revenue, (Prediction_date=$A28)*(Period&gt;$A28)*(Period&lt;$D28)))&gt;=12,SUM(_xlfn._xlws.FILTER(Predicted_Revenue, (Prediction_date=$A28)*(Period&gt;$A28)*(Period&lt;$D28))), NA())</f>
        <v>11395561.720427988</v>
      </c>
      <c r="J28" s="4" cm="1">
        <f t="array" ref="J28">IF(COUNT(_xlfn._xlws.FILTER(Actual_Revenue, (Prediction_date=$A28)*(Period&gt;$A28)*(Period&lt;$D28)))&gt;=12, SUM(_xlfn._xlws.FILTER(Actual_Revenue, (Prediction_date=$A28)*(Period&gt;$A28)*(Period&lt;$D28))), NA())</f>
        <v>11915558.719999997</v>
      </c>
    </row>
    <row r="29" spans="1:10" x14ac:dyDescent="0.45">
      <c r="A29" s="1">
        <v>45169</v>
      </c>
      <c r="B29" s="1">
        <f t="shared" si="0"/>
        <v>45261</v>
      </c>
      <c r="C29" s="1">
        <f t="shared" si="1"/>
        <v>45353</v>
      </c>
      <c r="D29" s="1">
        <f t="shared" si="2"/>
        <v>45535</v>
      </c>
      <c r="E29" s="4" cm="1">
        <f t="array" ref="E29">IF(COUNT(_xlfn._xlws.FILTER(Predicted_Revenue,(Prediction_date=$A29)*(Period&gt;$A29)*(Period&lt;$B29)))&gt;=3, SUM(_xlfn._xlws.FILTER(Predicted_Revenue,(Prediction_date=$A29)*(Period&gt;$A29)*(Period&lt;$B29))), NA())</f>
        <v>3867879.8898318196</v>
      </c>
      <c r="F29" s="4" cm="1">
        <f t="array" ref="F29">IF(COUNT(_xlfn._xlws.FILTER(Actual_Revenue, (Prediction_date=$A29)*(Period&gt;$A29)*(Period&lt;$B29)))&gt;=3, SUM(_xlfn._xlws.FILTER(Actual_Revenue, (Prediction_date=$A29)*(Period&gt;$A29)*(Period&lt;$B29))), NA())</f>
        <v>4175269.0700000003</v>
      </c>
      <c r="G29" s="4" cm="1">
        <f t="array" ref="G29">IF(COUNT(_xlfn._xlws.FILTER(Predicted_Revenue, (Prediction_date=$A29)*(Period&gt;$A29)*(Period&lt;$C29)))&gt;=6, SUM(_xlfn._xlws.FILTER(Predicted_Revenue, (Prediction_date=$A29)*(Period&gt;$A29)*(Period&lt;$C29))), NA())</f>
        <v>7387224.2020976301</v>
      </c>
      <c r="H29" s="4" cm="1">
        <f t="array" ref="H29">IF(COUNT(_xlfn._xlws.FILTER(Actual_Revenue, (Prediction_date=$A29)*(Period&gt;$A29)*(Period&lt;$C29)))&gt;=6,SUM(_xlfn._xlws.FILTER(Actual_Revenue, (Prediction_date=$A29)*(Period&gt;$A29)*(Period&lt;$C29))), NA())</f>
        <v>7784499.8599999994</v>
      </c>
      <c r="I29" s="4" cm="1">
        <f t="array" ref="I29">IF(COUNT(_xlfn._xlws.FILTER(Predicted_Revenue, (Prediction_date=$A29)*(Period&gt;$A29)*(Period&lt;$D29)))&gt;=12,SUM(_xlfn._xlws.FILTER(Predicted_Revenue, (Prediction_date=$A29)*(Period&gt;$A29)*(Period&lt;$D29))), NA())</f>
        <v>11521437.003399199</v>
      </c>
      <c r="J29" s="4" cm="1">
        <f t="array" ref="J29">IF(COUNT(_xlfn._xlws.FILTER(Actual_Revenue, (Prediction_date=$A29)*(Period&gt;$A29)*(Period&lt;$D29)))&gt;=12, SUM(_xlfn._xlws.FILTER(Actual_Revenue, (Prediction_date=$A29)*(Period&gt;$A29)*(Period&lt;$D29))), NA())</f>
        <v>11953046.239999998</v>
      </c>
    </row>
    <row r="30" spans="1:10" x14ac:dyDescent="0.45">
      <c r="A30" s="1">
        <v>45199</v>
      </c>
      <c r="B30" s="1">
        <f t="shared" si="0"/>
        <v>45290</v>
      </c>
      <c r="C30" s="1">
        <f t="shared" si="1"/>
        <v>45381</v>
      </c>
      <c r="D30" s="1">
        <f t="shared" si="2"/>
        <v>45565</v>
      </c>
      <c r="E30" s="4" cm="1">
        <f t="array" ref="E30">IF(COUNT(_xlfn._xlws.FILTER(Predicted_Revenue,(Prediction_date=$A30)*(Period&gt;$A30)*(Period&lt;$B30)))&gt;=3, SUM(_xlfn._xlws.FILTER(Predicted_Revenue,(Prediction_date=$A30)*(Period&gt;$A30)*(Period&lt;$B30))), NA())</f>
        <v>3499181.7928405241</v>
      </c>
      <c r="F30" s="4" cm="1">
        <f t="array" ref="F30">IF(COUNT(_xlfn._xlws.FILTER(Actual_Revenue, (Prediction_date=$A30)*(Period&gt;$A30)*(Period&lt;$B30)))&gt;=3, SUM(_xlfn._xlws.FILTER(Actual_Revenue, (Prediction_date=$A30)*(Period&gt;$A30)*(Period&lt;$B30))), NA())</f>
        <v>3824535.42</v>
      </c>
      <c r="G30" s="4" cm="1">
        <f t="array" ref="G30">IF(COUNT(_xlfn._xlws.FILTER(Predicted_Revenue, (Prediction_date=$A30)*(Period&gt;$A30)*(Period&lt;$C30)))&gt;=6, SUM(_xlfn._xlws.FILTER(Predicted_Revenue, (Prediction_date=$A30)*(Period&gt;$A30)*(Period&lt;$C30))), NA())</f>
        <v>6577910.4258724079</v>
      </c>
      <c r="H30" s="4" cm="1">
        <f t="array" ref="H30">IF(COUNT(_xlfn._xlws.FILTER(Actual_Revenue, (Prediction_date=$A30)*(Period&gt;$A30)*(Period&lt;$C30)))&gt;=6,SUM(_xlfn._xlws.FILTER(Actual_Revenue, (Prediction_date=$A30)*(Period&gt;$A30)*(Period&lt;$C30))), NA())</f>
        <v>6732959.2199999997</v>
      </c>
      <c r="I30" s="4" cm="1">
        <f t="array" ref="I30">IF(COUNT(_xlfn._xlws.FILTER(Predicted_Revenue, (Prediction_date=$A30)*(Period&gt;$A30)*(Period&lt;$D30)))&gt;=12,SUM(_xlfn._xlws.FILTER(Predicted_Revenue, (Prediction_date=$A30)*(Period&gt;$A30)*(Period&lt;$D30))), NA())</f>
        <v>11809292.388893275</v>
      </c>
      <c r="J30" s="4" cm="1">
        <f t="array" ref="J30">IF(COUNT(_xlfn._xlws.FILTER(Actual_Revenue, (Prediction_date=$A30)*(Period&gt;$A30)*(Period&lt;$D30)))&gt;=12, SUM(_xlfn._xlws.FILTER(Actual_Revenue, (Prediction_date=$A30)*(Period&gt;$A30)*(Period&lt;$D30))), NA())</f>
        <v>12361781.649999999</v>
      </c>
    </row>
    <row r="31" spans="1:10" x14ac:dyDescent="0.45">
      <c r="A31" s="1">
        <v>45230</v>
      </c>
      <c r="B31" s="1">
        <f t="shared" si="0"/>
        <v>45322</v>
      </c>
      <c r="C31" s="1">
        <f t="shared" si="1"/>
        <v>45413</v>
      </c>
      <c r="D31" s="1">
        <f t="shared" si="2"/>
        <v>45596</v>
      </c>
      <c r="E31" s="4" cm="1">
        <f t="array" ref="E31">IF(COUNT(_xlfn._xlws.FILTER(Predicted_Revenue,(Prediction_date=$A31)*(Period&gt;$A31)*(Period&lt;$B31)))&gt;=3, SUM(_xlfn._xlws.FILTER(Predicted_Revenue,(Prediction_date=$A31)*(Period&gt;$A31)*(Period&lt;$B31))), NA())</f>
        <v>3842858.6555272182</v>
      </c>
      <c r="F31" s="4" cm="1">
        <f t="array" ref="F31">IF(COUNT(_xlfn._xlws.FILTER(Actual_Revenue, (Prediction_date=$A31)*(Period&gt;$A31)*(Period&lt;$B31)))&gt;=3, SUM(_xlfn._xlws.FILTER(Actual_Revenue, (Prediction_date=$A31)*(Period&gt;$A31)*(Period&lt;$B31))), NA())</f>
        <v>4054702.2800000003</v>
      </c>
      <c r="G31" s="4" cm="1">
        <f t="array" ref="G31">IF(COUNT(_xlfn._xlws.FILTER(Predicted_Revenue, (Prediction_date=$A31)*(Period&gt;$A31)*(Period&lt;$C31)))&gt;=6, SUM(_xlfn._xlws.FILTER(Predicted_Revenue, (Prediction_date=$A31)*(Period&gt;$A31)*(Period&lt;$C31))), NA())</f>
        <v>6744066.9847963303</v>
      </c>
      <c r="H31" s="4" cm="1">
        <f t="array" ref="H31">IF(COUNT(_xlfn._xlws.FILTER(Actual_Revenue, (Prediction_date=$A31)*(Period&gt;$A31)*(Period&lt;$C31)))&gt;=6,SUM(_xlfn._xlws.FILTER(Actual_Revenue, (Prediction_date=$A31)*(Period&gt;$A31)*(Period&lt;$C31))), NA())</f>
        <v>7103857.3099999996</v>
      </c>
      <c r="I31" s="4" cm="1">
        <f t="array" ref="I31">IF(COUNT(_xlfn._xlws.FILTER(Predicted_Revenue, (Prediction_date=$A31)*(Period&gt;$A31)*(Period&lt;$D31)))&gt;=12,SUM(_xlfn._xlws.FILTER(Predicted_Revenue, (Prediction_date=$A31)*(Period&gt;$A31)*(Period&lt;$D31))), NA())</f>
        <v>12542585.963889441</v>
      </c>
      <c r="J31" s="4" cm="1">
        <f t="array" ref="J31">IF(COUNT(_xlfn._xlws.FILTER(Actual_Revenue, (Prediction_date=$A31)*(Period&gt;$A31)*(Period&lt;$D31)))&gt;=12, SUM(_xlfn._xlws.FILTER(Actual_Revenue, (Prediction_date=$A31)*(Period&gt;$A31)*(Period&lt;$D31))), NA())</f>
        <v>12140729.119999997</v>
      </c>
    </row>
    <row r="32" spans="1:10" x14ac:dyDescent="0.45">
      <c r="A32" s="1">
        <v>45260</v>
      </c>
      <c r="B32" s="1">
        <f t="shared" si="0"/>
        <v>45352</v>
      </c>
      <c r="C32" s="1">
        <f t="shared" si="1"/>
        <v>45442</v>
      </c>
      <c r="D32" s="1">
        <f t="shared" si="2"/>
        <v>45626</v>
      </c>
      <c r="E32" s="4" cm="1">
        <f t="array" ref="E32">IF(COUNT(_xlfn._xlws.FILTER(Predicted_Revenue,(Prediction_date=$A32)*(Period&gt;$A32)*(Period&lt;$B32)))&gt;=3, SUM(_xlfn._xlws.FILTER(Predicted_Revenue,(Prediction_date=$A32)*(Period&gt;$A32)*(Period&lt;$B32))), NA())</f>
        <v>2676481.5235088822</v>
      </c>
      <c r="F32" s="4" cm="1">
        <f t="array" ref="F32">IF(COUNT(_xlfn._xlws.FILTER(Actual_Revenue, (Prediction_date=$A32)*(Period&gt;$A32)*(Period&lt;$B32)))&gt;=3, SUM(_xlfn._xlws.FILTER(Actual_Revenue, (Prediction_date=$A32)*(Period&gt;$A32)*(Period&lt;$B32))), NA())</f>
        <v>3062188.1399999987</v>
      </c>
      <c r="G32" s="4" cm="1">
        <f t="array" ref="G32">IF(COUNT(_xlfn._xlws.FILTER(Predicted_Revenue, (Prediction_date=$A32)*(Period&gt;$A32)*(Period&lt;$C32)))&gt;=6, SUM(_xlfn._xlws.FILTER(Predicted_Revenue, (Prediction_date=$A32)*(Period&gt;$A32)*(Period&lt;$C32))), NA())</f>
        <v>5605988.2075429428</v>
      </c>
      <c r="H32" s="4" cm="1">
        <f t="array" ref="H32">IF(COUNT(_xlfn._xlws.FILTER(Actual_Revenue, (Prediction_date=$A32)*(Period&gt;$A32)*(Period&lt;$C32)))&gt;=6,SUM(_xlfn._xlws.FILTER(Actual_Revenue, (Prediction_date=$A32)*(Period&gt;$A32)*(Period&lt;$C32))), NA())</f>
        <v>6073110.1399999978</v>
      </c>
      <c r="I32" s="4" cm="1">
        <f t="array" ref="I32">IF(COUNT(_xlfn._xlws.FILTER(Predicted_Revenue, (Prediction_date=$A32)*(Period&gt;$A32)*(Period&lt;$D32)))&gt;=12,SUM(_xlfn._xlws.FILTER(Predicted_Revenue, (Prediction_date=$A32)*(Period&gt;$A32)*(Period&lt;$D32))), NA())</f>
        <v>12231701.944719851</v>
      </c>
      <c r="J32" s="4" t="e" cm="1">
        <f t="array" ref="J32">IF(COUNT(_xlfn._xlws.FILTER(Actual_Revenue, (Prediction_date=$A32)*(Period&gt;$A32)*(Period&lt;$D32)))&gt;=12, SUM(_xlfn._xlws.FILTER(Actual_Revenue, (Prediction_date=$A32)*(Period&gt;$A32)*(Period&lt;$D32))), NA())</f>
        <v>#N/A</v>
      </c>
    </row>
    <row r="33" spans="1:10" x14ac:dyDescent="0.45">
      <c r="A33" s="1">
        <v>45291</v>
      </c>
      <c r="B33" s="1">
        <f t="shared" si="0"/>
        <v>45382</v>
      </c>
      <c r="C33" s="1">
        <f t="shared" si="1"/>
        <v>45474</v>
      </c>
      <c r="D33" s="1">
        <f t="shared" si="2"/>
        <v>45657</v>
      </c>
      <c r="E33" s="4" cm="1">
        <f t="array" ref="E33">IF(COUNT(_xlfn._xlws.FILTER(Predicted_Revenue,(Prediction_date=$A33)*(Period&gt;$A33)*(Period&lt;$B33)))&gt;=3, SUM(_xlfn._xlws.FILTER(Predicted_Revenue,(Prediction_date=$A33)*(Period&gt;$A33)*(Period&lt;$B33))), NA())</f>
        <v>3659504.0090016201</v>
      </c>
      <c r="F33" s="4" cm="1">
        <f t="array" ref="F33">IF(COUNT(_xlfn._xlws.FILTER(Actual_Revenue, (Prediction_date=$A33)*(Period&gt;$A33)*(Period&lt;$B33)))&gt;=3, SUM(_xlfn._xlws.FILTER(Actual_Revenue, (Prediction_date=$A33)*(Period&gt;$A33)*(Period&lt;$B33))), NA())</f>
        <v>3277038.45</v>
      </c>
      <c r="G33" s="4" cm="1">
        <f t="array" ref="G33">IF(COUNT(_xlfn._xlws.FILTER(Predicted_Revenue, (Prediction_date=$A33)*(Period&gt;$A33)*(Period&lt;$C33)))&gt;=6, SUM(_xlfn._xlws.FILTER(Predicted_Revenue, (Prediction_date=$A33)*(Period&gt;$A33)*(Period&lt;$C33))), NA())</f>
        <v>6444347.6590106739</v>
      </c>
      <c r="H33" s="4" cm="1">
        <f t="array" ref="H33">IF(COUNT(_xlfn._xlws.FILTER(Actual_Revenue, (Prediction_date=$A33)*(Period&gt;$A33)*(Period&lt;$C33)))&gt;=6,SUM(_xlfn._xlws.FILTER(Actual_Revenue, (Prediction_date=$A33)*(Period&gt;$A33)*(Period&lt;$C33))), NA())</f>
        <v>6282386.049999998</v>
      </c>
      <c r="I33" s="4" cm="1">
        <f t="array" ref="I33">IF(COUNT(_xlfn._xlws.FILTER(Predicted_Revenue, (Prediction_date=$A33)*(Period&gt;$A33)*(Period&lt;$D33)))&gt;=12,SUM(_xlfn._xlws.FILTER(Predicted_Revenue, (Prediction_date=$A33)*(Period&gt;$A33)*(Period&lt;$D33))), NA())</f>
        <v>12999306.708415989</v>
      </c>
      <c r="J33" s="4" t="e" cm="1">
        <f t="array" ref="J33">IF(COUNT(_xlfn._xlws.FILTER(Actual_Revenue, (Prediction_date=$A33)*(Period&gt;$A33)*(Period&lt;$D33)))&gt;=12, SUM(_xlfn._xlws.FILTER(Actual_Revenue, (Prediction_date=$A33)*(Period&gt;$A33)*(Period&lt;$D33))), NA())</f>
        <v>#N/A</v>
      </c>
    </row>
    <row r="34" spans="1:10" x14ac:dyDescent="0.45">
      <c r="A34" s="1">
        <v>45322</v>
      </c>
      <c r="B34" s="1">
        <f t="shared" si="0"/>
        <v>45413</v>
      </c>
      <c r="C34" s="1">
        <f t="shared" si="1"/>
        <v>45504</v>
      </c>
      <c r="D34" s="1">
        <f t="shared" si="2"/>
        <v>45688</v>
      </c>
      <c r="E34" s="4" cm="1">
        <f t="array" ref="E34">IF(COUNT(_xlfn._xlws.FILTER(Predicted_Revenue,(Prediction_date=$A34)*(Period&gt;$A34)*(Period&lt;$B34)))&gt;=3, SUM(_xlfn._xlws.FILTER(Predicted_Revenue,(Prediction_date=$A34)*(Period&gt;$A34)*(Period&lt;$B34))), NA())</f>
        <v>3398177.8088497757</v>
      </c>
      <c r="F34" s="4" cm="1">
        <f t="array" ref="F34">IF(COUNT(_xlfn._xlws.FILTER(Actual_Revenue, (Prediction_date=$A34)*(Period&gt;$A34)*(Period&lt;$B34)))&gt;=3, SUM(_xlfn._xlws.FILTER(Actual_Revenue, (Prediction_date=$A34)*(Period&gt;$A34)*(Period&lt;$B34))), NA())</f>
        <v>3413646.8</v>
      </c>
      <c r="G34" s="4" cm="1">
        <f t="array" ref="G34">IF(COUNT(_xlfn._xlws.FILTER(Predicted_Revenue, (Prediction_date=$A34)*(Period&gt;$A34)*(Period&lt;$C34)))&gt;=6, SUM(_xlfn._xlws.FILTER(Predicted_Revenue, (Prediction_date=$A34)*(Period&gt;$A34)*(Period&lt;$C34))), NA())</f>
        <v>6833242.0528606959</v>
      </c>
      <c r="H34" s="4" cm="1">
        <f t="array" ref="H34">IF(COUNT(_xlfn._xlws.FILTER(Actual_Revenue, (Prediction_date=$A34)*(Period&gt;$A34)*(Period&lt;$C34)))&gt;=6,SUM(_xlfn._xlws.FILTER(Actual_Revenue, (Prediction_date=$A34)*(Period&gt;$A34)*(Period&lt;$C34))), NA())</f>
        <v>5946119.2399999974</v>
      </c>
      <c r="I34" s="4" cm="1">
        <f t="array" ref="I34">IF(COUNT(_xlfn._xlws.FILTER(Predicted_Revenue, (Prediction_date=$A34)*(Period&gt;$A34)*(Period&lt;$D34)))&gt;=12,SUM(_xlfn._xlws.FILTER(Predicted_Revenue, (Prediction_date=$A34)*(Period&gt;$A34)*(Period&lt;$D34))), NA())</f>
        <v>13859803.629835624</v>
      </c>
      <c r="J34" s="4" t="e" cm="1">
        <f t="array" ref="J34">IF(COUNT(_xlfn._xlws.FILTER(Actual_Revenue, (Prediction_date=$A34)*(Period&gt;$A34)*(Period&lt;$D34)))&gt;=12, SUM(_xlfn._xlws.FILTER(Actual_Revenue, (Prediction_date=$A34)*(Period&gt;$A34)*(Period&lt;$D34))), NA())</f>
        <v>#N/A</v>
      </c>
    </row>
    <row r="35" spans="1:10" x14ac:dyDescent="0.45">
      <c r="A35" s="1">
        <v>45351</v>
      </c>
      <c r="B35" s="1">
        <f t="shared" si="0"/>
        <v>45441</v>
      </c>
      <c r="C35" s="1">
        <f t="shared" si="1"/>
        <v>45533</v>
      </c>
      <c r="D35" s="1">
        <f t="shared" si="2"/>
        <v>45717</v>
      </c>
      <c r="E35" s="4" cm="1">
        <f t="array" ref="E35">IF(COUNT(_xlfn._xlws.FILTER(Predicted_Revenue,(Prediction_date=$A35)*(Period&gt;$A35)*(Period&lt;$B35)))&gt;=3, SUM(_xlfn._xlws.FILTER(Predicted_Revenue,(Prediction_date=$A35)*(Period&gt;$A35)*(Period&lt;$B35))), NA())</f>
        <v>3450319.8750352049</v>
      </c>
      <c r="F35" s="4" cm="1">
        <f t="array" ref="F35">IF(COUNT(_xlfn._xlws.FILTER(Actual_Revenue, (Prediction_date=$A35)*(Period&gt;$A35)*(Period&lt;$B35)))&gt;=3, SUM(_xlfn._xlws.FILTER(Actual_Revenue, (Prediction_date=$A35)*(Period&gt;$A35)*(Period&lt;$B35))), NA())</f>
        <v>3383914.7199999993</v>
      </c>
      <c r="G35" s="4" cm="1">
        <f t="array" ref="G35">IF(COUNT(_xlfn._xlws.FILTER(Predicted_Revenue, (Prediction_date=$A35)*(Period&gt;$A35)*(Period&lt;$C35)))&gt;=6, SUM(_xlfn._xlws.FILTER(Predicted_Revenue, (Prediction_date=$A35)*(Period&gt;$A35)*(Period&lt;$C35))), NA())</f>
        <v>6997986.0903584948</v>
      </c>
      <c r="H35" s="4" cm="1">
        <f t="array" ref="H35">IF(COUNT(_xlfn._xlws.FILTER(Actual_Revenue, (Prediction_date=$A35)*(Period&gt;$A35)*(Period&lt;$C35)))&gt;=6,SUM(_xlfn._xlws.FILTER(Actual_Revenue, (Prediction_date=$A35)*(Period&gt;$A35)*(Period&lt;$C35))), NA())</f>
        <v>6076209.5799999982</v>
      </c>
      <c r="I35" s="4" cm="1">
        <f t="array" ref="I35">IF(COUNT(_xlfn._xlws.FILTER(Predicted_Revenue, (Prediction_date=$A35)*(Period&gt;$A35)*(Period&lt;$D35)))&gt;=12,SUM(_xlfn._xlws.FILTER(Predicted_Revenue, (Prediction_date=$A35)*(Period&gt;$A35)*(Period&lt;$D35))), NA())</f>
        <v>13820949.331621839</v>
      </c>
      <c r="J35" s="4" t="e" cm="1">
        <f t="array" ref="J35">IF(COUNT(_xlfn._xlws.FILTER(Actual_Revenue, (Prediction_date=$A35)*(Period&gt;$A35)*(Period&lt;$D35)))&gt;=12, SUM(_xlfn._xlws.FILTER(Actual_Revenue, (Prediction_date=$A35)*(Period&gt;$A35)*(Period&lt;$D35))), NA())</f>
        <v>#N/A</v>
      </c>
    </row>
    <row r="36" spans="1:10" x14ac:dyDescent="0.45">
      <c r="A36" s="1">
        <v>45382</v>
      </c>
      <c r="B36" s="1">
        <f t="shared" si="0"/>
        <v>45474</v>
      </c>
      <c r="C36" s="1">
        <f t="shared" si="1"/>
        <v>45566</v>
      </c>
      <c r="D36" s="1">
        <f t="shared" si="2"/>
        <v>45747</v>
      </c>
      <c r="E36" s="4" cm="1">
        <f t="array" ref="E36">IF(COUNT(_xlfn._xlws.FILTER(Predicted_Revenue,(Prediction_date=$A36)*(Period&gt;$A36)*(Period&lt;$B36)))&gt;=3, SUM(_xlfn._xlws.FILTER(Predicted_Revenue,(Prediction_date=$A36)*(Period&gt;$A36)*(Period&lt;$B36))), NA())</f>
        <v>2942660.2233169386</v>
      </c>
      <c r="F36" s="4" cm="1">
        <f t="array" ref="F36">IF(COUNT(_xlfn._xlws.FILTER(Actual_Revenue, (Prediction_date=$A36)*(Period&gt;$A36)*(Period&lt;$B36)))&gt;=3, SUM(_xlfn._xlws.FILTER(Actual_Revenue, (Prediction_date=$A36)*(Period&gt;$A36)*(Period&lt;$B36))), NA())</f>
        <v>3306132.5299999882</v>
      </c>
      <c r="G36" s="4" cm="1">
        <f t="array" ref="G36">IF(COUNT(_xlfn._xlws.FILTER(Predicted_Revenue, (Prediction_date=$A36)*(Period&gt;$A36)*(Period&lt;$C36)))&gt;=6, SUM(_xlfn._xlws.FILTER(Predicted_Revenue, (Prediction_date=$A36)*(Period&gt;$A36)*(Period&lt;$C36))), NA())</f>
        <v>6347159.2117639789</v>
      </c>
      <c r="H36" s="4" cm="1">
        <f t="array" ref="H36">IF(COUNT(_xlfn._xlws.FILTER(Actual_Revenue, (Prediction_date=$A36)*(Period&gt;$A36)*(Period&lt;$C36)))&gt;=6,SUM(_xlfn._xlws.FILTER(Actual_Revenue, (Prediction_date=$A36)*(Period&gt;$A36)*(Period&lt;$C36))), NA())</f>
        <v>6851021.8399999887</v>
      </c>
      <c r="I36" s="4" cm="1">
        <f t="array" ref="I36">IF(COUNT(_xlfn._xlws.FILTER(Predicted_Revenue, (Prediction_date=$A36)*(Period&gt;$A36)*(Period&lt;$D36)))&gt;=12,SUM(_xlfn._xlws.FILTER(Predicted_Revenue, (Prediction_date=$A36)*(Period&gt;$A36)*(Period&lt;$D36))), NA())</f>
        <v>12881375.629484281</v>
      </c>
      <c r="J36" s="4" t="e" cm="1">
        <f t="array" ref="J36">IF(COUNT(_xlfn._xlws.FILTER(Actual_Revenue, (Prediction_date=$A36)*(Period&gt;$A36)*(Period&lt;$D36)))&gt;=12, SUM(_xlfn._xlws.FILTER(Actual_Revenue, (Prediction_date=$A36)*(Period&gt;$A36)*(Period&lt;$D36))), NA())</f>
        <v>#N/A</v>
      </c>
    </row>
    <row r="37" spans="1:10" x14ac:dyDescent="0.45">
      <c r="A37" s="1">
        <v>45412</v>
      </c>
      <c r="B37" s="1">
        <f t="shared" si="0"/>
        <v>45503</v>
      </c>
      <c r="C37" s="1">
        <f t="shared" si="1"/>
        <v>45595</v>
      </c>
      <c r="D37" s="1">
        <f t="shared" si="2"/>
        <v>45777</v>
      </c>
      <c r="E37" s="4" cm="1">
        <f t="array" ref="E37">IF(COUNT(_xlfn._xlws.FILTER(Predicted_Revenue,(Prediction_date=$A37)*(Period&gt;$A37)*(Period&lt;$B37)))&gt;=3, SUM(_xlfn._xlws.FILTER(Predicted_Revenue,(Prediction_date=$A37)*(Period&gt;$A37)*(Period&lt;$B37))), NA())</f>
        <v>3689130.4419643898</v>
      </c>
      <c r="F37" s="4" cm="1">
        <f t="array" ref="F37">IF(COUNT(_xlfn._xlws.FILTER(Actual_Revenue, (Prediction_date=$A37)*(Period&gt;$A37)*(Period&lt;$B37)))&gt;=3, SUM(_xlfn._xlws.FILTER(Actual_Revenue, (Prediction_date=$A37)*(Period&gt;$A37)*(Period&lt;$B37))), NA())</f>
        <v>2799596.84</v>
      </c>
      <c r="G37" s="4" cm="1">
        <f t="array" ref="G37">IF(COUNT(_xlfn._xlws.FILTER(Predicted_Revenue, (Prediction_date=$A37)*(Period&gt;$A37)*(Period&lt;$C37)))&gt;=6, SUM(_xlfn._xlws.FILTER(Predicted_Revenue, (Prediction_date=$A37)*(Period&gt;$A37)*(Period&lt;$C37))), NA())</f>
        <v>7148263.1705954997</v>
      </c>
      <c r="H37" s="4" cm="1">
        <f t="array" ref="H37">IF(COUNT(_xlfn._xlws.FILTER(Actual_Revenue, (Prediction_date=$A37)*(Period&gt;$A37)*(Period&lt;$C37)))&gt;=6,SUM(_xlfn._xlws.FILTER(Actual_Revenue, (Prediction_date=$A37)*(Period&gt;$A37)*(Period&lt;$C37))), NA())</f>
        <v>6067072.4499999983</v>
      </c>
      <c r="I37" s="4" cm="1">
        <f t="array" ref="I37">IF(COUNT(_xlfn._xlws.FILTER(Predicted_Revenue, (Prediction_date=$A37)*(Period&gt;$A37)*(Period&lt;$D37)))&gt;=12,SUM(_xlfn._xlws.FILTER(Predicted_Revenue, (Prediction_date=$A37)*(Period&gt;$A37)*(Period&lt;$D37))), NA())</f>
        <v>14308123.608964814</v>
      </c>
      <c r="J37" s="4" t="e" cm="1">
        <f t="array" ref="J37">IF(COUNT(_xlfn._xlws.FILTER(Actual_Revenue, (Prediction_date=$A37)*(Period&gt;$A37)*(Period&lt;$D37)))&gt;=12, SUM(_xlfn._xlws.FILTER(Actual_Revenue, (Prediction_date=$A37)*(Period&gt;$A37)*(Period&lt;$D37))), NA())</f>
        <v>#N/A</v>
      </c>
    </row>
    <row r="38" spans="1:10" x14ac:dyDescent="0.45">
      <c r="A38" s="1">
        <v>45443</v>
      </c>
      <c r="B38" s="1">
        <f t="shared" si="0"/>
        <v>45535</v>
      </c>
      <c r="C38" s="1">
        <f t="shared" si="1"/>
        <v>45627</v>
      </c>
      <c r="D38" s="1">
        <f t="shared" si="2"/>
        <v>45808</v>
      </c>
      <c r="E38" s="4" cm="1">
        <f t="array" ref="E38">IF(COUNT(_xlfn._xlws.FILTER(Predicted_Revenue,(Prediction_date=$A38)*(Period&gt;$A38)*(Period&lt;$B38)))&gt;=3, SUM(_xlfn._xlws.FILTER(Predicted_Revenue,(Prediction_date=$A38)*(Period&gt;$A38)*(Period&lt;$B38))), NA())</f>
        <v>3845955.89168387</v>
      </c>
      <c r="F38" s="4" cm="1">
        <f t="array" ref="F38">IF(COUNT(_xlfn._xlws.FILTER(Actual_Revenue, (Prediction_date=$A38)*(Period&gt;$A38)*(Period&lt;$B38)))&gt;=3, SUM(_xlfn._xlws.FILTER(Actual_Revenue, (Prediction_date=$A38)*(Period&gt;$A38)*(Period&lt;$B38))), NA())</f>
        <v>2971338.89</v>
      </c>
      <c r="G38" s="4" cm="1">
        <f t="array" ref="G38">IF(COUNT(_xlfn._xlws.FILTER(Predicted_Revenue, (Prediction_date=$A38)*(Period&gt;$A38)*(Period&lt;$C38)))&gt;=6, SUM(_xlfn._xlws.FILTER(Predicted_Revenue, (Prediction_date=$A38)*(Period&gt;$A38)*(Period&lt;$C38))), NA())</f>
        <v>8171993.6951764002</v>
      </c>
      <c r="H38" s="4" t="e" cm="1">
        <f t="array" ref="H38">IF(COUNT(_xlfn._xlws.FILTER(Actual_Revenue, (Prediction_date=$A38)*(Period&gt;$A38)*(Period&lt;$C38)))&gt;=6,SUM(_xlfn._xlws.FILTER(Actual_Revenue, (Prediction_date=$A38)*(Period&gt;$A38)*(Period&lt;$C38))), NA())</f>
        <v>#N/A</v>
      </c>
      <c r="I38" s="4" cm="1">
        <f t="array" ref="I38">IF(COUNT(_xlfn._xlws.FILTER(Predicted_Revenue, (Prediction_date=$A38)*(Period&gt;$A38)*(Period&lt;$D38)))&gt;=12,SUM(_xlfn._xlws.FILTER(Predicted_Revenue, (Prediction_date=$A38)*(Period&gt;$A38)*(Period&lt;$D38))), NA())</f>
        <v>14260845.640370844</v>
      </c>
      <c r="J38" s="4" t="e" cm="1">
        <f t="array" ref="J38">IF(COUNT(_xlfn._xlws.FILTER(Actual_Revenue, (Prediction_date=$A38)*(Period&gt;$A38)*(Period&lt;$D38)))&gt;=12, SUM(_xlfn._xlws.FILTER(Actual_Revenue, (Prediction_date=$A38)*(Period&gt;$A38)*(Period&lt;$D38))), NA())</f>
        <v>#N/A</v>
      </c>
    </row>
    <row r="39" spans="1:10" x14ac:dyDescent="0.45">
      <c r="A39" s="1">
        <v>45473</v>
      </c>
      <c r="B39" s="1">
        <f t="shared" si="0"/>
        <v>45565</v>
      </c>
      <c r="C39" s="1">
        <f t="shared" si="1"/>
        <v>45656</v>
      </c>
      <c r="D39" s="1">
        <f t="shared" si="2"/>
        <v>45838</v>
      </c>
      <c r="E39" s="4" cm="1">
        <f t="array" ref="E39">IF(COUNT(_xlfn._xlws.FILTER(Predicted_Revenue,(Prediction_date=$A39)*(Period&gt;$A39)*(Period&lt;$B39)))&gt;=3, SUM(_xlfn._xlws.FILTER(Predicted_Revenue,(Prediction_date=$A39)*(Period&gt;$A39)*(Period&lt;$B39))), NA())</f>
        <v>3743412.7457230603</v>
      </c>
      <c r="F39" s="4" cm="1">
        <f t="array" ref="F39">IF(COUNT(_xlfn._xlws.FILTER(Actual_Revenue, (Prediction_date=$A39)*(Period&gt;$A39)*(Period&lt;$B39)))&gt;=3, SUM(_xlfn._xlws.FILTER(Actual_Revenue, (Prediction_date=$A39)*(Period&gt;$A39)*(Period&lt;$B39))), NA())</f>
        <v>3871223.5799999898</v>
      </c>
      <c r="G39" s="4" cm="1">
        <f t="array" ref="G39">IF(COUNT(_xlfn._xlws.FILTER(Predicted_Revenue, (Prediction_date=$A39)*(Period&gt;$A39)*(Period&lt;$C39)))&gt;=6, SUM(_xlfn._xlws.FILTER(Predicted_Revenue, (Prediction_date=$A39)*(Period&gt;$A39)*(Period&lt;$C39))), NA())</f>
        <v>7547855.5059014885</v>
      </c>
      <c r="H39" s="4" t="e" cm="1">
        <f t="array" ref="H39">IF(COUNT(_xlfn._xlws.FILTER(Actual_Revenue, (Prediction_date=$A39)*(Period&gt;$A39)*(Period&lt;$C39)))&gt;=6,SUM(_xlfn._xlws.FILTER(Actual_Revenue, (Prediction_date=$A39)*(Period&gt;$A39)*(Period&lt;$C39))), NA())</f>
        <v>#N/A</v>
      </c>
      <c r="I39" s="4" cm="1">
        <f t="array" ref="I39">IF(COUNT(_xlfn._xlws.FILTER(Predicted_Revenue, (Prediction_date=$A39)*(Period&gt;$A39)*(Period&lt;$D39)))&gt;=12,SUM(_xlfn._xlws.FILTER(Predicted_Revenue, (Prediction_date=$A39)*(Period&gt;$A39)*(Period&lt;$D39))), NA())</f>
        <v>13741536.629967313</v>
      </c>
      <c r="J39" s="4" t="e" cm="1">
        <f t="array" ref="J39">IF(COUNT(_xlfn._xlws.FILTER(Actual_Revenue, (Prediction_date=$A39)*(Period&gt;$A39)*(Period&lt;$D39)))&gt;=12, SUM(_xlfn._xlws.FILTER(Actual_Revenue, (Prediction_date=$A39)*(Period&gt;$A39)*(Period&lt;$D39))), NA())</f>
        <v>#N/A</v>
      </c>
    </row>
    <row r="40" spans="1:10" x14ac:dyDescent="0.45">
      <c r="A40" s="1">
        <v>45504</v>
      </c>
      <c r="B40" s="1">
        <f t="shared" si="0"/>
        <v>45596</v>
      </c>
      <c r="C40" s="1">
        <f t="shared" si="1"/>
        <v>45688</v>
      </c>
      <c r="D40" s="1">
        <f t="shared" si="2"/>
        <v>45869</v>
      </c>
      <c r="E40" s="4" cm="1">
        <f t="array" ref="E40">IF(COUNT(_xlfn._xlws.FILTER(Predicted_Revenue,(Prediction_date=$A40)*(Period&gt;$A40)*(Period&lt;$B40)))&gt;=3, SUM(_xlfn._xlws.FILTER(Predicted_Revenue,(Prediction_date=$A40)*(Period&gt;$A40)*(Period&lt;$B40))), NA())</f>
        <v>3488345.3266931903</v>
      </c>
      <c r="F40" s="4" cm="1">
        <f t="array" ref="F40">IF(COUNT(_xlfn._xlws.FILTER(Actual_Revenue, (Prediction_date=$A40)*(Period&gt;$A40)*(Period&lt;$B40)))&gt;=3, SUM(_xlfn._xlws.FILTER(Actual_Revenue, (Prediction_date=$A40)*(Period&gt;$A40)*(Period&lt;$B40))), NA())</f>
        <v>3536970.6199999996</v>
      </c>
      <c r="G40" s="4" cm="1">
        <f t="array" ref="G40">IF(COUNT(_xlfn._xlws.FILTER(Predicted_Revenue, (Prediction_date=$A40)*(Period&gt;$A40)*(Period&lt;$C40)))&gt;=6, SUM(_xlfn._xlws.FILTER(Predicted_Revenue, (Prediction_date=$A40)*(Period&gt;$A40)*(Period&lt;$C40))), NA())</f>
        <v>7326141.7166950712</v>
      </c>
      <c r="H40" s="4" t="e" cm="1">
        <f t="array" ref="H40">IF(COUNT(_xlfn._xlws.FILTER(Actual_Revenue, (Prediction_date=$A40)*(Period&gt;$A40)*(Period&lt;$C40)))&gt;=6,SUM(_xlfn._xlws.FILTER(Actual_Revenue, (Prediction_date=$A40)*(Period&gt;$A40)*(Period&lt;$C40))), NA())</f>
        <v>#N/A</v>
      </c>
      <c r="I40" s="4" cm="1">
        <f t="array" ref="I40">IF(COUNT(_xlfn._xlws.FILTER(Predicted_Revenue, (Prediction_date=$A40)*(Period&gt;$A40)*(Period&lt;$D40)))&gt;=12,SUM(_xlfn._xlws.FILTER(Predicted_Revenue, (Prediction_date=$A40)*(Period&gt;$A40)*(Period&lt;$D40))), NA())</f>
        <v>13430913.628896231</v>
      </c>
      <c r="J40" s="4" t="e" cm="1">
        <f t="array" ref="J40">IF(COUNT(_xlfn._xlws.FILTER(Actual_Revenue, (Prediction_date=$A40)*(Period&gt;$A40)*(Period&lt;$D40)))&gt;=12, SUM(_xlfn._xlws.FILTER(Actual_Revenue, (Prediction_date=$A40)*(Period&gt;$A40)*(Period&lt;$D40))), NA())</f>
        <v>#N/A</v>
      </c>
    </row>
    <row r="41" spans="1:10" x14ac:dyDescent="0.45">
      <c r="A41" s="1">
        <v>45535</v>
      </c>
      <c r="B41" s="1">
        <f t="shared" si="0"/>
        <v>45627</v>
      </c>
      <c r="C41" s="1">
        <f t="shared" si="1"/>
        <v>45719</v>
      </c>
      <c r="D41" s="1">
        <f t="shared" si="2"/>
        <v>45900</v>
      </c>
      <c r="E41" s="4" cm="1">
        <f t="array" ref="E41">IF(COUNT(_xlfn._xlws.FILTER(Predicted_Revenue,(Prediction_date=$A41)*(Period&gt;$A41)*(Period&lt;$B41)))&gt;=3, SUM(_xlfn._xlws.FILTER(Predicted_Revenue,(Prediction_date=$A41)*(Period&gt;$A41)*(Period&lt;$B41))), NA())</f>
        <v>4270675.3194456901</v>
      </c>
      <c r="F41" s="4" t="e" cm="1">
        <f t="array" ref="F41">IF(COUNT(_xlfn._xlws.FILTER(Actual_Revenue, (Prediction_date=$A41)*(Period&gt;$A41)*(Period&lt;$B41)))&gt;=3, SUM(_xlfn._xlws.FILTER(Actual_Revenue, (Prediction_date=$A41)*(Period&gt;$A41)*(Period&lt;$B41))), NA())</f>
        <v>#N/A</v>
      </c>
      <c r="G41" s="4" cm="1">
        <f t="array" ref="G41">IF(COUNT(_xlfn._xlws.FILTER(Predicted_Revenue, (Prediction_date=$A41)*(Period&gt;$A41)*(Period&lt;$C41)))&gt;=6, SUM(_xlfn._xlws.FILTER(Predicted_Revenue, (Prediction_date=$A41)*(Period&gt;$A41)*(Period&lt;$C41))), NA())</f>
        <v>8311073.0693745418</v>
      </c>
      <c r="H41" s="4" t="e" cm="1">
        <f t="array" ref="H41">IF(COUNT(_xlfn._xlws.FILTER(Actual_Revenue, (Prediction_date=$A41)*(Period&gt;$A41)*(Period&lt;$C41)))&gt;=6,SUM(_xlfn._xlws.FILTER(Actual_Revenue, (Prediction_date=$A41)*(Period&gt;$A41)*(Period&lt;$C41))), NA())</f>
        <v>#N/A</v>
      </c>
      <c r="I41" s="4" cm="1">
        <f t="array" ref="I41">IF(COUNT(_xlfn._xlws.FILTER(Predicted_Revenue, (Prediction_date=$A41)*(Period&gt;$A41)*(Period&lt;$D41)))&gt;=12,SUM(_xlfn._xlws.FILTER(Predicted_Revenue, (Prediction_date=$A41)*(Period&gt;$A41)*(Period&lt;$D41))), NA())</f>
        <v>13295263.940064417</v>
      </c>
      <c r="J41" s="4" t="e" cm="1">
        <f t="array" ref="J41">IF(COUNT(_xlfn._xlws.FILTER(Actual_Revenue, (Prediction_date=$A41)*(Period&gt;$A41)*(Period&lt;$D41)))&gt;=12, SUM(_xlfn._xlws.FILTER(Actual_Revenue, (Prediction_date=$A41)*(Period&gt;$A41)*(Period&lt;$D41))), NA())</f>
        <v>#N/A</v>
      </c>
    </row>
    <row r="42" spans="1:10" x14ac:dyDescent="0.45">
      <c r="A42" s="1">
        <v>45565</v>
      </c>
      <c r="B42" s="1">
        <f t="shared" si="0"/>
        <v>45656</v>
      </c>
      <c r="C42" s="1">
        <f t="shared" si="1"/>
        <v>45746</v>
      </c>
      <c r="D42" s="1">
        <f t="shared" si="2"/>
        <v>45930</v>
      </c>
      <c r="E42" s="4" cm="1">
        <f t="array" ref="E42">IF(COUNT(_xlfn._xlws.FILTER(Predicted_Revenue,(Prediction_date=$A42)*(Period&gt;$A42)*(Period&lt;$B42)))&gt;=3, SUM(_xlfn._xlws.FILTER(Predicted_Revenue,(Prediction_date=$A42)*(Period&gt;$A42)*(Period&lt;$B42))), NA())</f>
        <v>4227171.9219522309</v>
      </c>
      <c r="F42" s="4" t="e" cm="1">
        <f t="array" ref="F42">IF(COUNT(_xlfn._xlws.FILTER(Actual_Revenue, (Prediction_date=$A42)*(Period&gt;$A42)*(Period&lt;$B42)))&gt;=3, SUM(_xlfn._xlws.FILTER(Actual_Revenue, (Prediction_date=$A42)*(Period&gt;$A42)*(Period&lt;$B42))), NA())</f>
        <v>#N/A</v>
      </c>
      <c r="G42" s="4" cm="1">
        <f t="array" ref="G42">IF(COUNT(_xlfn._xlws.FILTER(Predicted_Revenue, (Prediction_date=$A42)*(Period&gt;$A42)*(Period&lt;$C42)))&gt;=6, SUM(_xlfn._xlws.FILTER(Predicted_Revenue, (Prediction_date=$A42)*(Period&gt;$A42)*(Period&lt;$C42))), NA())</f>
        <v>7864780.3941105204</v>
      </c>
      <c r="H42" s="4" t="e" cm="1">
        <f t="array" ref="H42">IF(COUNT(_xlfn._xlws.FILTER(Actual_Revenue, (Prediction_date=$A42)*(Period&gt;$A42)*(Period&lt;$C42)))&gt;=6,SUM(_xlfn._xlws.FILTER(Actual_Revenue, (Prediction_date=$A42)*(Period&gt;$A42)*(Period&lt;$C42))), NA())</f>
        <v>#N/A</v>
      </c>
      <c r="I42" s="4" cm="1">
        <f t="array" ref="I42">IF(COUNT(_xlfn._xlws.FILTER(Predicted_Revenue, (Prediction_date=$A42)*(Period&gt;$A42)*(Period&lt;$D42)))&gt;=12,SUM(_xlfn._xlws.FILTER(Predicted_Revenue, (Prediction_date=$A42)*(Period&gt;$A42)*(Period&lt;$D42))), NA())</f>
        <v>14673457.377788698</v>
      </c>
      <c r="J42" s="4" t="e" cm="1">
        <f t="array" ref="J42">IF(COUNT(_xlfn._xlws.FILTER(Actual_Revenue, (Prediction_date=$A42)*(Period&gt;$A42)*(Period&lt;$D42)))&gt;=12, SUM(_xlfn._xlws.FILTER(Actual_Revenue, (Prediction_date=$A42)*(Period&gt;$A42)*(Period&lt;$D42))), NA())</f>
        <v>#N/A</v>
      </c>
    </row>
  </sheetData>
  <mergeCells count="3">
    <mergeCell ref="E1:F1"/>
    <mergeCell ref="G1:H1"/>
    <mergeCell ref="I1:J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model_log_1227</vt:lpstr>
      <vt:lpstr>Forward Revenue Calculations</vt:lpstr>
      <vt:lpstr>Actual_Revenue</vt:lpstr>
      <vt:lpstr>Period</vt:lpstr>
      <vt:lpstr>Predicted_Revenue</vt:lpstr>
      <vt:lpstr>Prediction_date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fanghema</dc:creator>
  <cp:lastModifiedBy>Ma, Frank</cp:lastModifiedBy>
  <dcterms:created xsi:type="dcterms:W3CDTF">2024-12-30T18:15:50Z</dcterms:created>
  <dcterms:modified xsi:type="dcterms:W3CDTF">2025-01-01T20:10:01Z</dcterms:modified>
</cp:coreProperties>
</file>